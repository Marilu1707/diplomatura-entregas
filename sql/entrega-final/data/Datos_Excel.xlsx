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565bec9d47d0a5/Documentos/"/>
    </mc:Choice>
  </mc:AlternateContent>
  <xr:revisionPtr revIDLastSave="1" documentId="8_{5C75228A-99D0-4125-993C-B845E06C9634}" xr6:coauthVersionLast="47" xr6:coauthVersionMax="47" xr10:uidLastSave="{DD724C3D-5246-47F2-A342-F2E07AD7E15B}"/>
  <bookViews>
    <workbookView xWindow="-110" yWindow="-110" windowWidth="19420" windowHeight="11500" xr2:uid="{43E95FCD-E7C2-4E97-AB6E-8B491C31C94C}"/>
  </bookViews>
  <sheets>
    <sheet name="Dashboard" sheetId="3" r:id="rId1"/>
    <sheet name="datos" sheetId="1" r:id="rId2"/>
    <sheet name="Tablas Dinamicas" sheetId="2" r:id="rId3"/>
    <sheet name="Informe" sheetId="4" r:id="rId4"/>
    <sheet name="Metricas Bonu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F6" i="3"/>
  <c r="D6" i="3"/>
  <c r="B6" i="3"/>
  <c r="C26" i="5"/>
  <c r="C25" i="5"/>
  <c r="D24" i="5"/>
  <c r="C24" i="5"/>
  <c r="D23" i="5"/>
  <c r="C23" i="5"/>
  <c r="C20" i="5"/>
  <c r="C19" i="5"/>
  <c r="C18" i="5" a="1"/>
  <c r="C18" i="5" s="1"/>
  <c r="C15" i="5"/>
  <c r="C14" i="5"/>
  <c r="C13" i="5"/>
  <c r="C12" i="5"/>
  <c r="C11" i="5"/>
  <c r="C8" i="5"/>
  <c r="C7" i="5"/>
  <c r="C6" i="5"/>
  <c r="C5" i="5"/>
  <c r="C4" i="5"/>
  <c r="B32" i="4"/>
  <c r="B31" i="4" a="1"/>
  <c r="B31" i="4" s="1"/>
  <c r="B30" i="4" a="1"/>
  <c r="B30" i="4" s="1"/>
  <c r="B29" i="4" a="1"/>
  <c r="B29" i="4" s="1"/>
  <c r="B26" i="4" a="1"/>
  <c r="B26" i="4" s="1"/>
  <c r="B25" i="4"/>
  <c r="G7" i="2"/>
  <c r="G6" i="2"/>
  <c r="G5" i="2"/>
  <c r="G4" i="2"/>
  <c r="G3" i="2"/>
  <c r="F7" i="2"/>
  <c r="F6" i="2"/>
  <c r="F5" i="2"/>
  <c r="F4" i="2"/>
  <c r="F3" i="2"/>
  <c r="C22" i="2"/>
  <c r="C21" i="2"/>
  <c r="B22" i="2"/>
  <c r="B21" i="2"/>
  <c r="C17" i="2"/>
  <c r="C16" i="2"/>
  <c r="C15" i="2"/>
  <c r="C14" i="2"/>
  <c r="C13" i="2"/>
  <c r="C12" i="2"/>
  <c r="B17" i="2"/>
  <c r="B16" i="2"/>
  <c r="B15" i="2"/>
  <c r="B14" i="2"/>
  <c r="B13" i="2"/>
  <c r="B12" i="2"/>
  <c r="C8" i="2"/>
  <c r="C7" i="2"/>
  <c r="C6" i="2"/>
  <c r="C5" i="2"/>
  <c r="C4" i="2"/>
  <c r="C3" i="2"/>
  <c r="B8" i="2"/>
  <c r="B7" i="2"/>
  <c r="B6" i="2"/>
  <c r="B5" i="2"/>
  <c r="B4" i="2"/>
  <c r="B3" i="2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<sst xmlns="http://schemas.openxmlformats.org/spreadsheetml/2006/main" count="238" uniqueCount="152">
  <si>
    <t>id_auto</t>
  </si>
  <si>
    <t>marca</t>
  </si>
  <si>
    <t>modelo</t>
  </si>
  <si>
    <t>tipo_combustible</t>
  </si>
  <si>
    <t>transmision</t>
  </si>
  <si>
    <t>carroceria</t>
  </si>
  <si>
    <t>provincia</t>
  </si>
  <si>
    <t>localidad</t>
  </si>
  <si>
    <t>estado</t>
  </si>
  <si>
    <t>origen</t>
  </si>
  <si>
    <t>fecha_publicacion</t>
  </si>
  <si>
    <t>anio_fabricacion</t>
  </si>
  <si>
    <t>kilometraje</t>
  </si>
  <si>
    <t>precio_ars</t>
  </si>
  <si>
    <t>puertas</t>
  </si>
  <si>
    <t>financiacion</t>
  </si>
  <si>
    <t>id_venta</t>
  </si>
  <si>
    <t>fecha_venta</t>
  </si>
  <si>
    <t>precio_venta</t>
  </si>
  <si>
    <t>anio_venta</t>
  </si>
  <si>
    <t>precio_con_financiacion</t>
  </si>
  <si>
    <t>Toyota</t>
  </si>
  <si>
    <t>Corolla</t>
  </si>
  <si>
    <t>Nafta</t>
  </si>
  <si>
    <t>Automática</t>
  </si>
  <si>
    <t>Sedán</t>
  </si>
  <si>
    <t>Buenos Aires</t>
  </si>
  <si>
    <t>La Plata</t>
  </si>
  <si>
    <t>Usado</t>
  </si>
  <si>
    <t>Nacional</t>
  </si>
  <si>
    <t>Hilux</t>
  </si>
  <si>
    <t>Diésel</t>
  </si>
  <si>
    <t>Manual</t>
  </si>
  <si>
    <t>Pickup</t>
  </si>
  <si>
    <t>Córdoba</t>
  </si>
  <si>
    <t>Córdoba Capital</t>
  </si>
  <si>
    <t>Nuevo</t>
  </si>
  <si>
    <t>Ford</t>
  </si>
  <si>
    <t>Fiesta</t>
  </si>
  <si>
    <t>Hatchback</t>
  </si>
  <si>
    <t>Santa Fe</t>
  </si>
  <si>
    <t>Rosario</t>
  </si>
  <si>
    <t>Ranger</t>
  </si>
  <si>
    <t>Mendoza</t>
  </si>
  <si>
    <t>Godoy Cruz</t>
  </si>
  <si>
    <t>Seminuevo</t>
  </si>
  <si>
    <t>Importado</t>
  </si>
  <si>
    <t>Chevrolet</t>
  </si>
  <si>
    <t>Cruze</t>
  </si>
  <si>
    <t>Onix</t>
  </si>
  <si>
    <t>Neuquén</t>
  </si>
  <si>
    <t>Volkswagen</t>
  </si>
  <si>
    <t>Gol</t>
  </si>
  <si>
    <t>Salta</t>
  </si>
  <si>
    <t>Amarok</t>
  </si>
  <si>
    <t>Peugeot</t>
  </si>
  <si>
    <t>SUV</t>
  </si>
  <si>
    <t>Renault</t>
  </si>
  <si>
    <t>Kwid</t>
  </si>
  <si>
    <t>Duster</t>
  </si>
  <si>
    <t>TABLA 1: Precio Promedio por Marca</t>
  </si>
  <si>
    <t>Marca</t>
  </si>
  <si>
    <t>Precio Promedio (ARS)</t>
  </si>
  <si>
    <t>Cantidad Autos</t>
  </si>
  <si>
    <t>TABLA 2: Cantidad de Autos por Provincia</t>
  </si>
  <si>
    <t>Provincia</t>
  </si>
  <si>
    <t>Cantidad</t>
  </si>
  <si>
    <t>% del Total</t>
  </si>
  <si>
    <t>TABLA 3: Financiación (Sí vs No)</t>
  </si>
  <si>
    <t>Financiación</t>
  </si>
  <si>
    <t>Con Financiación</t>
  </si>
  <si>
    <t>Sin Financiación</t>
  </si>
  <si>
    <t>TABLA 4: Ventas por Mes</t>
  </si>
  <si>
    <t>Mes</t>
  </si>
  <si>
    <t>Ventas</t>
  </si>
  <si>
    <t>Monto Total (ARS)</t>
  </si>
  <si>
    <t>Febrero</t>
  </si>
  <si>
    <t>Abril</t>
  </si>
  <si>
    <t>Junio</t>
  </si>
  <si>
    <t>Agosto</t>
  </si>
  <si>
    <t>Octubre</t>
  </si>
  <si>
    <t>DASHBOARD - FERIA DEL AUTOMOVIL 2024</t>
  </si>
  <si>
    <t>Analisis integral del mercado automotor | Massironi</t>
  </si>
  <si>
    <t>INDICADORES CLAVE (KPIs)</t>
  </si>
  <si>
    <t>Total Autos</t>
  </si>
  <si>
    <t>Precio Promedio</t>
  </si>
  <si>
    <t>Km Promedio</t>
  </si>
  <si>
    <t>Ventas Realizadas</t>
  </si>
  <si>
    <t>FILTROS DISPONIBLES EN LA HOJA 'DATOS'</t>
  </si>
  <si>
    <t>Para filtrar los datos, ve a la hoja 'datos' y usa las flechas de filtro de la tabla:</t>
  </si>
  <si>
    <t xml:space="preserve">  - Columna B (marca): Toyota, Ford, Chevrolet, Volkswagen, Peugeot, Renault</t>
  </si>
  <si>
    <t xml:space="preserve">  - Columna G (provincia): Buenos Aires, Cordoba, Santa Fe, Mendoza, Neuquen, Salta</t>
  </si>
  <si>
    <t xml:space="preserve">  - Columna I (estado): Nuevo, Usado, Seminuevo</t>
  </si>
  <si>
    <t xml:space="preserve">  Tip: La tabla TblAutos tiene autofiltros incorporados. Haz clic en las flechas del encabezado para segmentar.</t>
  </si>
  <si>
    <t>INFORME ANALITICO - FERIA DEL AUTOMOVIL 2024</t>
  </si>
  <si>
    <t>1. OBJETO DEL ANALISIS</t>
  </si>
  <si>
    <t>El presente informe analiza los datos de la Feria del Automovil correspondientes al periodo enero-diciembre 2024. Se evaluan 12 vehiculos publicados de 6 marcas distintas (Toyota, Ford, Chevrolet, Volkswagen, Peugeot y Renault), distribuidos en 6 provincias argentinas. El objetivo es identificar tendencias de mercado, patrones de precios y comportamiento de la demanda.</t>
  </si>
  <si>
    <t>2. DATOS ANALIZADOS</t>
  </si>
  <si>
    <t>La base de datos relacional consta de 12 tablas normalizadas bajo un esquema dimensional (star schema), con una tabla de hechos principal (fact_auto) y multiples dimensiones. Los datos incluyen: 12 publicaciones de vehiculos, 5 ventas concretadas, 4 tipos de combustible, 3 estados de vehiculo y 4 planes de financiacion.</t>
  </si>
  <si>
    <t>3. HALLAZGOS PRINCIPALES</t>
  </si>
  <si>
    <t>3.1 Precios por marca:</t>
  </si>
  <si>
    <t>- Toyota lidera el precio promedio con $30.250.000 (impulsado por la Hilux a $42M), seguido por Peugeot ($25.900.000) y Volkswagen ($25.250.000). Las marcas mas accesibles son Chevrolet ($19.250.000) y Renault ($19.350.000).</t>
  </si>
  <si>
    <t>3.2 Distribucion geografica:</t>
  </si>
  <si>
    <t>- Buenos Aires concentra el 25% de las publicaciones (3 de 12 autos). Las demas provincias muestran una distribucion equilibrada con 1-2 vehiculos cada una. Esto refleja la concentracion poblacional del area metropolitana.</t>
  </si>
  <si>
    <t>3.3 Financiacion:</t>
  </si>
  <si>
    <t>- Existe un equilibrio exacto 50/50 entre vehiculos con y sin financiacion (6 cada uno). Los vehiculos nuevos y de alta gama tienden a no ofrecer financiacion, mientras que los usados y de rango medio si la ofrecen. El recargo por financiacion es del 10%.</t>
  </si>
  <si>
    <t>3.4 Ventas:</t>
  </si>
  <si>
    <t>- Se concretaron 5 ventas entre febrero y octubre de 2024, con un monto total de $85.800.000. Las ventas se distribuyen uniformemente (1 por bimestre), lo que sugiere un flujo constante de operaciones a lo largo del anio.</t>
  </si>
  <si>
    <t>4. CONCLUSIONES</t>
  </si>
  <si>
    <t>- El segmento pickup (Hilux, Ranger, Amarok) representa los precios mas altos del mercado, con un promedio superior a $38M.</t>
  </si>
  <si>
    <t>- La tasa de conversion (ventas/publicaciones) es del 41.7%, lo que indica una buena efectividad comercial.</t>
  </si>
  <si>
    <t>5. RECOMENDACIONES</t>
  </si>
  <si>
    <t>Elaborado por: Sistema de Analisis - Feria del Automovil Massironi</t>
  </si>
  <si>
    <t>Fuente: Base de datos MySQL 8+ | Periodo: Enero - Diciembre 2024</t>
  </si>
  <si>
    <t>METRICAS Y FORMULAS ADICIONALES</t>
  </si>
  <si>
    <t>METRICAS DE MERCADO</t>
  </si>
  <si>
    <t>VALOR</t>
  </si>
  <si>
    <t>FORMULA UTILIZADA</t>
  </si>
  <si>
    <t>Precio Maximo</t>
  </si>
  <si>
    <t>=MAX(datos!N:N)</t>
  </si>
  <si>
    <t>Precio Minimo</t>
  </si>
  <si>
    <t>=MIN(datos!N:N)</t>
  </si>
  <si>
    <t>Mediana del Precio</t>
  </si>
  <si>
    <t>=MEDIAN(datos!N2:N13)</t>
  </si>
  <si>
    <t>Desvio Estandar del Precio</t>
  </si>
  <si>
    <t>=STDEV(datos!N2:N13)</t>
  </si>
  <si>
    <t>Rango de Precios (Max - Min)</t>
  </si>
  <si>
    <t>=MAX(datos!N:N)-MIN(datos!N:N)</t>
  </si>
  <si>
    <t>METRICAS DE RENDIMIENTO</t>
  </si>
  <si>
    <t>Tasa de Conversion (ventas/autos)</t>
  </si>
  <si>
    <t>=COUNTIF(ventas)/COUNTA(autos)</t>
  </si>
  <si>
    <t>Ticket Promedio de Venta</t>
  </si>
  <si>
    <t>=AVERAGEIF(datos!S2:S13,"&gt;0")</t>
  </si>
  <si>
    <t>Monto Total Vendido</t>
  </si>
  <si>
    <t>=SUMIF(datos!S2:S13,"&gt;0")</t>
  </si>
  <si>
    <t>% Autos Nuevos</t>
  </si>
  <si>
    <t>=COUNTIF(estado,"Nuevo")/total</t>
  </si>
  <si>
    <t>Km Promedio (solo usados)</t>
  </si>
  <si>
    <t>=AVERAGEIF(estado,"Usado",km)</t>
  </si>
  <si>
    <t>ANTIGUEDAD DE VEHICULOS</t>
  </si>
  <si>
    <t>Antiguedad Promedio (anios)</t>
  </si>
  <si>
    <t>=AVERAGE(2024-anio_fabricacion)</t>
  </si>
  <si>
    <t>Auto Mas Antiguo (anio)</t>
  </si>
  <si>
    <t>=MIN(datos!L2:L13)</t>
  </si>
  <si>
    <t>Auto Mas Reciente (anio)</t>
  </si>
  <si>
    <t>=MAX(datos!L2:L13)</t>
  </si>
  <si>
    <t>ANALISIS POR COMBUSTIBLE</t>
  </si>
  <si>
    <t>CANTIDAD</t>
  </si>
  <si>
    <t>PRECIO PROMEDIO</t>
  </si>
  <si>
    <t>Diesel</t>
  </si>
  <si>
    <t>Hibrido</t>
  </si>
  <si>
    <t>Electrico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</si>
</sst>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"/>
    <numFmt numFmtId="166" formatCode="0.0%"/>
    <numFmt numFmtId="167" formatCode="0.0"/>
    <numFmt numFmtId="168" formatCode="#,##0&quot; km&quot;"/>
    <numFmt numFmtId="169" formatCode="&quot;$&quot;#,##0.0&quot; M&quot;"/>
  </numFmts>
  <fonts count="1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5B5B5B"/>
      <name val="Aptos Narrow"/>
      <family val="2"/>
      <scheme val="minor"/>
    </font>
    <font>
      <b/>
      <sz val="10"/>
      <color rgb="FF2E75B6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0"/>
      <color rgb="FF5B5B5B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C55A11"/>
      <name val="Aptos Narrow"/>
      <family val="2"/>
      <scheme val="minor"/>
    </font>
    <font>
      <b/>
      <sz val="22"/>
      <color rgb="FF1F4E79"/>
      <name val="Aptos Narrow"/>
      <family val="2"/>
      <scheme val="minor"/>
    </font>
    <font>
      <b/>
      <sz val="22"/>
      <color rgb="FF2E75B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2E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/>
      <right/>
      <top style="thin">
        <color rgb="FF1F4E7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4" borderId="0" xfId="0" applyFont="1" applyFill="1"/>
    <xf numFmtId="166" fontId="0" fillId="0" borderId="0" xfId="0" applyNumberForma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12" fillId="7" borderId="0" xfId="0" applyFont="1" applyFill="1"/>
    <xf numFmtId="0" fontId="0" fillId="0" borderId="0" xfId="0" quotePrefix="1"/>
    <xf numFmtId="0" fontId="0" fillId="8" borderId="0" xfId="0" applyFill="1"/>
    <xf numFmtId="165" fontId="0" fillId="8" borderId="0" xfId="0" applyNumberFormat="1" applyFill="1"/>
    <xf numFmtId="0" fontId="0" fillId="8" borderId="0" xfId="0" quotePrefix="1" applyFill="1"/>
    <xf numFmtId="166" fontId="0" fillId="8" borderId="0" xfId="0" applyNumberFormat="1" applyFill="1"/>
    <xf numFmtId="167" fontId="0" fillId="8" borderId="0" xfId="0" applyNumberFormat="1" applyFill="1"/>
    <xf numFmtId="3" fontId="14" fillId="3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2" xfId="0" applyBorder="1"/>
    <xf numFmtId="0" fontId="5" fillId="5" borderId="2" xfId="0" applyFont="1" applyFill="1" applyBorder="1" applyAlignment="1">
      <alignment horizontal="center"/>
    </xf>
    <xf numFmtId="3" fontId="13" fillId="3" borderId="1" xfId="0" applyNumberFormat="1" applyFont="1" applyFill="1" applyBorder="1" applyAlignment="1">
      <alignment horizontal="center"/>
    </xf>
    <xf numFmtId="169" fontId="14" fillId="3" borderId="1" xfId="0" applyNumberFormat="1" applyFont="1" applyFill="1" applyBorder="1" applyAlignment="1">
      <alignment horizontal="center"/>
    </xf>
    <xf numFmtId="168" fontId="13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1" fillId="6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165" formatCode="&quot;$&quot;#,##0"/>
    </dxf>
    <dxf>
      <numFmt numFmtId="165" formatCode="&quot;$&quot;#,##0"/>
    </dxf>
    <dxf>
      <numFmt numFmtId="164" formatCode="yyyy\-mm\-dd"/>
    </dxf>
    <dxf>
      <numFmt numFmtId="165" formatCode="&quot;$&quot;#,##0"/>
    </dxf>
    <dxf>
      <numFmt numFmtId="3" formatCode="#,##0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Autos por Provincia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Dinamicas'!$B$11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'Tablas Dinamicas'!$A$12:$A$17</c:f>
              <c:strCache>
                <c:ptCount val="6"/>
                <c:pt idx="0">
                  <c:v>Buenos Aires</c:v>
                </c:pt>
                <c:pt idx="1">
                  <c:v>Córdoba</c:v>
                </c:pt>
                <c:pt idx="2">
                  <c:v>Santa Fe</c:v>
                </c:pt>
                <c:pt idx="3">
                  <c:v>Mendoza</c:v>
                </c:pt>
                <c:pt idx="4">
                  <c:v>Neuquén</c:v>
                </c:pt>
                <c:pt idx="5">
                  <c:v>Salta</c:v>
                </c:pt>
              </c:strCache>
            </c:strRef>
          </c:cat>
          <c:val>
            <c:numRef>
              <c:f>'Tablas Dinamicas'!$B$12:$B$17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1-4A30-A3CD-457C74F30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16176"/>
        <c:axId val="158692736"/>
      </c:barChart>
      <c:catAx>
        <c:axId val="15201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8692736"/>
        <c:crosses val="autoZero"/>
        <c:auto val="1"/>
        <c:lblAlgn val="ctr"/>
        <c:lblOffset val="100"/>
        <c:noMultiLvlLbl val="0"/>
      </c:catAx>
      <c:valAx>
        <c:axId val="15869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201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Promedio por Marca (ARS)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Dinamicas'!$B$2</c:f>
              <c:strCache>
                <c:ptCount val="1"/>
                <c:pt idx="0">
                  <c:v>Precio Promedio (ARS)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'Tablas Dinamicas'!$A$3:$A$8</c:f>
              <c:strCache>
                <c:ptCount val="6"/>
                <c:pt idx="0">
                  <c:v>Toyota</c:v>
                </c:pt>
                <c:pt idx="1">
                  <c:v>Ford</c:v>
                </c:pt>
                <c:pt idx="2">
                  <c:v>Chevrolet</c:v>
                </c:pt>
                <c:pt idx="3">
                  <c:v>Volkswagen</c:v>
                </c:pt>
                <c:pt idx="4">
                  <c:v>Peugeot</c:v>
                </c:pt>
                <c:pt idx="5">
                  <c:v>Renault</c:v>
                </c:pt>
              </c:strCache>
            </c:strRef>
          </c:cat>
          <c:val>
            <c:numRef>
              <c:f>'Tablas Dinamicas'!$B$3:$B$8</c:f>
              <c:numCache>
                <c:formatCode>"$"#,##0</c:formatCode>
                <c:ptCount val="6"/>
                <c:pt idx="0">
                  <c:v>30250000</c:v>
                </c:pt>
                <c:pt idx="1">
                  <c:v>23400000</c:v>
                </c:pt>
                <c:pt idx="2">
                  <c:v>19250000</c:v>
                </c:pt>
                <c:pt idx="3">
                  <c:v>25250000</c:v>
                </c:pt>
                <c:pt idx="4">
                  <c:v>25900000</c:v>
                </c:pt>
                <c:pt idx="5">
                  <c:v>19350000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2-4D99-A2CD-2FCB0885E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01376"/>
        <c:axId val="158701856"/>
      </c:barChart>
      <c:catAx>
        <c:axId val="15870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8701856"/>
        <c:crosses val="autoZero"/>
        <c:auto val="1"/>
        <c:lblAlgn val="ctr"/>
        <c:lblOffset val="100"/>
        <c:noMultiLvlLbl val="0"/>
      </c:catAx>
      <c:valAx>
        <c:axId val="1587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870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Financiacion (Si vs No)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17-4A0A-9BF3-D9216070B09B}"/>
              </c:ext>
            </c:extLst>
          </c:dPt>
          <c:dPt>
            <c:idx val="1"/>
            <c:bubble3D val="0"/>
            <c:spPr>
              <a:solidFill>
                <a:srgbClr val="A5A5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617-4A0A-9BF3-D9216070B09B}"/>
              </c:ext>
            </c:extLst>
          </c:dPt>
          <c:cat>
            <c:strRef>
              <c:f>'Tablas Dinamicas'!$A$21:$A$22</c:f>
              <c:strCache>
                <c:ptCount val="2"/>
                <c:pt idx="0">
                  <c:v>Con Financiación</c:v>
                </c:pt>
                <c:pt idx="1">
                  <c:v>Sin Financiación</c:v>
                </c:pt>
              </c:strCache>
            </c:strRef>
          </c:cat>
          <c:val>
            <c:numRef>
              <c:f>'Tablas Dinamicas'!$B$21:$B$22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7-4A0A-9BF3-D9216070B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Mes (2024)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'Tablas Dinamicas'!$F$2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FFFFFF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cat>
            <c:strRef>
              <c:f>'Tablas Dinamicas'!$E$3:$E$7</c:f>
              <c:strCache>
                <c:ptCount val="5"/>
                <c:pt idx="0">
                  <c:v>Febrero</c:v>
                </c:pt>
                <c:pt idx="1">
                  <c:v>Abril</c:v>
                </c:pt>
                <c:pt idx="2">
                  <c:v>Junio</c:v>
                </c:pt>
                <c:pt idx="3">
                  <c:v>Agosto</c:v>
                </c:pt>
                <c:pt idx="4">
                  <c:v>Octubre</c:v>
                </c:pt>
              </c:strCache>
            </c:strRef>
          </c:cat>
          <c:val>
            <c:numRef>
              <c:f>'Tablas Dinamicas'!$F$3:$F$7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5-479F-A26A-16CE1C3B0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99456"/>
        <c:axId val="158695136"/>
      </c:lineChart>
      <c:catAx>
        <c:axId val="1586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8695136"/>
        <c:crosses val="autoZero"/>
        <c:auto val="1"/>
        <c:lblAlgn val="ctr"/>
        <c:lblOffset val="100"/>
        <c:noMultiLvlLbl val="0"/>
      </c:catAx>
      <c:valAx>
        <c:axId val="1586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869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0</xdr:colOff>
      <xdr:row>22</xdr:row>
      <xdr:rowOff>0</xdr:rowOff>
    </xdr:to>
    <xdr:graphicFrame macro="">
      <xdr:nvGraphicFramePr>
        <xdr:cNvPr id="2" name="AutosPorProvincia">
          <a:extLst>
            <a:ext uri="{FF2B5EF4-FFF2-40B4-BE49-F238E27FC236}">
              <a16:creationId xmlns:a16="http://schemas.microsoft.com/office/drawing/2014/main" id="{FC024F07-DB20-3315-8B05-5A61B36BC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3" name="PrecioPorMarca">
          <a:extLst>
            <a:ext uri="{FF2B5EF4-FFF2-40B4-BE49-F238E27FC236}">
              <a16:creationId xmlns:a16="http://schemas.microsoft.com/office/drawing/2014/main" id="{6C97F571-9E89-3E1C-1C1D-19B5B1EA5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5</xdr:col>
      <xdr:colOff>0</xdr:colOff>
      <xdr:row>35</xdr:row>
      <xdr:rowOff>0</xdr:rowOff>
    </xdr:to>
    <xdr:graphicFrame macro="">
      <xdr:nvGraphicFramePr>
        <xdr:cNvPr id="4" name="Financiacion">
          <a:extLst>
            <a:ext uri="{FF2B5EF4-FFF2-40B4-BE49-F238E27FC236}">
              <a16:creationId xmlns:a16="http://schemas.microsoft.com/office/drawing/2014/main" id="{37FBB2B2-7385-D026-C1FF-353BE8967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6" name="VentasPorMes">
          <a:extLst>
            <a:ext uri="{FF2B5EF4-FFF2-40B4-BE49-F238E27FC236}">
              <a16:creationId xmlns:a16="http://schemas.microsoft.com/office/drawing/2014/main" id="{99D0CF99-F4AE-212A-1F46-C39EDCC24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14ADA-E2AE-4DBC-9C2A-2EE865786449}" name="TblAutos" displayName="TblAutos" ref="A1:U13" totalsRowShown="0" headerRowDxfId="6">
  <autoFilter ref="A1:U13" xr:uid="{49E14ADA-E2AE-4DBC-9C2A-2EE865786449}"/>
  <tableColumns count="21">
    <tableColumn id="1" xr3:uid="{70EDF8D1-9D02-4E52-87E3-0F2C940AE035}" name="id_auto"/>
    <tableColumn id="2" xr3:uid="{970B0E94-E1CF-4A2B-8A14-14EBC800F39D}" name="marca"/>
    <tableColumn id="3" xr3:uid="{0A8A7D54-A143-4B71-98A8-4782FC79B44E}" name="modelo"/>
    <tableColumn id="4" xr3:uid="{25D6D0FB-DAC7-4C47-A5BE-CFD41338BBE0}" name="tipo_combustible"/>
    <tableColumn id="5" xr3:uid="{23C4F0D9-CD7C-4225-B1D0-9B2C3B13E8CA}" name="transmision"/>
    <tableColumn id="6" xr3:uid="{4F4B38D6-AFB2-4D86-B3A1-A5EB53BE2B91}" name="carroceria"/>
    <tableColumn id="7" xr3:uid="{56BB3066-E17D-4C6C-B2A3-F0D8841425BE}" name="provincia"/>
    <tableColumn id="8" xr3:uid="{9ADB6388-EAB6-4DF6-9024-9CDB15780FA5}" name="localidad"/>
    <tableColumn id="9" xr3:uid="{01B562AD-E47B-4AF2-8351-9DDFEC1F580A}" name="estado"/>
    <tableColumn id="10" xr3:uid="{2E67AB69-D038-41FD-BEC7-A1350F44B5AE}" name="origen"/>
    <tableColumn id="11" xr3:uid="{06705022-9FB6-4F08-ADC9-4B66ADDE9FDC}" name="fecha_publicacion" dataDxfId="5"/>
    <tableColumn id="12" xr3:uid="{3F344A07-4785-44D5-92BA-4EBD15A239BF}" name="anio_fabricacion"/>
    <tableColumn id="13" xr3:uid="{F6E9164C-722C-4CF0-A427-C4CBFA4B3389}" name="kilometraje" dataDxfId="4"/>
    <tableColumn id="14" xr3:uid="{E1168F46-92D5-41AF-9CF0-359DB114E4A7}" name="precio_ars" dataDxfId="3"/>
    <tableColumn id="15" xr3:uid="{D7E37337-6651-4142-AB94-3000CBB8565B}" name="puertas"/>
    <tableColumn id="16" xr3:uid="{892E7072-C004-44F7-BD36-645DB163199B}" name="financiacion"/>
    <tableColumn id="17" xr3:uid="{273D0D76-77A0-4F22-B707-C56C9B5C24B8}" name="id_venta"/>
    <tableColumn id="18" xr3:uid="{E16A56B4-397F-4579-8157-C360724F487F}" name="fecha_venta" dataDxfId="2"/>
    <tableColumn id="19" xr3:uid="{5606D3AE-3C62-4AF8-8251-E2F7FAAFE3BA}" name="precio_venta" dataDxfId="1"/>
    <tableColumn id="20" xr3:uid="{DC87DE62-A471-4207-B179-5018E5210006}" name="anio_venta"/>
    <tableColumn id="21" xr3:uid="{DC959800-58F0-4E59-9C29-8926E7A99899}" name="precio_con_financiacion" dataDxfId="0">
      <calculatedColumnFormula>IF(P2=1,N2*1.1,N2)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EFA131-001E-410F-9E69-C57FD1E17E4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12bfb79-a70e-4653-83f5-c9bbfac620c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4EAA-B5D4-4D86-A4BD-33D73E7C21D9}">
  <sheetPr>
    <tabColor rgb="FF2E75B6"/>
  </sheetPr>
  <dimension ref="B1:I41"/>
  <sheetViews>
    <sheetView showGridLines="0" tabSelected="1" zoomScale="57" workbookViewId="0">
      <selection activeCell="F5" sqref="F5:G5"/>
    </sheetView>
  </sheetViews>
  <sheetFormatPr baseColWidth="10" defaultRowHeight="14.5" x14ac:dyDescent="0.35"/>
  <cols>
    <col min="1" max="1" width="0.90625" customWidth="1"/>
    <col min="2" max="9" width="10" customWidth="1"/>
    <col min="10" max="10" width="0.90625" customWidth="1"/>
  </cols>
  <sheetData>
    <row r="1" spans="2:9" ht="40" customHeight="1" x14ac:dyDescent="0.6">
      <c r="B1" s="24" t="s">
        <v>81</v>
      </c>
      <c r="C1" s="24"/>
      <c r="D1" s="24"/>
      <c r="E1" s="24"/>
      <c r="F1" s="24"/>
      <c r="G1" s="24"/>
      <c r="H1" s="24"/>
      <c r="I1" s="24"/>
    </row>
    <row r="2" spans="2:9" ht="25" customHeight="1" x14ac:dyDescent="0.35">
      <c r="B2" s="25" t="s">
        <v>82</v>
      </c>
      <c r="C2" s="25"/>
      <c r="D2" s="25"/>
      <c r="E2" s="25"/>
      <c r="F2" s="25"/>
      <c r="G2" s="25"/>
      <c r="H2" s="25"/>
      <c r="I2" s="25"/>
    </row>
    <row r="4" spans="2:9" ht="16" x14ac:dyDescent="0.4">
      <c r="B4" s="6" t="s">
        <v>83</v>
      </c>
    </row>
    <row r="5" spans="2:9" ht="25" customHeight="1" x14ac:dyDescent="0.35">
      <c r="B5" s="27" t="s">
        <v>84</v>
      </c>
      <c r="C5" s="28"/>
      <c r="D5" s="29" t="s">
        <v>85</v>
      </c>
      <c r="E5" s="28"/>
      <c r="F5" s="27" t="s">
        <v>86</v>
      </c>
      <c r="G5" s="28"/>
      <c r="H5" s="29" t="s">
        <v>87</v>
      </c>
      <c r="I5" s="28"/>
    </row>
    <row r="6" spans="2:9" ht="40" customHeight="1" x14ac:dyDescent="0.65">
      <c r="B6" s="30">
        <f>COUNTA(datos!A:A)-1</f>
        <v>12</v>
      </c>
      <c r="C6" s="23"/>
      <c r="D6" s="31">
        <f>AVERAGE(datos!N:N)/1000000</f>
        <v>23.9</v>
      </c>
      <c r="E6" s="23"/>
      <c r="F6" s="32">
        <f>AVERAGE(datos!M:M)</f>
        <v>27166.666666666668</v>
      </c>
      <c r="G6" s="23"/>
      <c r="H6" s="22">
        <f>COUNTIF(datos!Q2:Q13,"&gt;0")</f>
        <v>5</v>
      </c>
      <c r="I6" s="23"/>
    </row>
    <row r="36" spans="2:9" ht="16" x14ac:dyDescent="0.4">
      <c r="B36" s="26" t="s">
        <v>88</v>
      </c>
      <c r="C36" s="26"/>
      <c r="D36" s="26"/>
      <c r="E36" s="26"/>
      <c r="F36" s="26"/>
      <c r="G36" s="26"/>
      <c r="H36" s="26"/>
      <c r="I36" s="26"/>
    </row>
    <row r="37" spans="2:9" x14ac:dyDescent="0.35">
      <c r="B37" s="9" t="s">
        <v>89</v>
      </c>
    </row>
    <row r="38" spans="2:9" x14ac:dyDescent="0.35">
      <c r="B38" s="9" t="s">
        <v>90</v>
      </c>
    </row>
    <row r="39" spans="2:9" x14ac:dyDescent="0.35">
      <c r="B39" s="9" t="s">
        <v>91</v>
      </c>
    </row>
    <row r="40" spans="2:9" x14ac:dyDescent="0.35">
      <c r="B40" s="9" t="s">
        <v>92</v>
      </c>
    </row>
    <row r="41" spans="2:9" x14ac:dyDescent="0.35">
      <c r="B41" s="10" t="s">
        <v>93</v>
      </c>
    </row>
  </sheetData>
  <mergeCells count="11">
    <mergeCell ref="H6:I6"/>
    <mergeCell ref="B1:I1"/>
    <mergeCell ref="B2:I2"/>
    <mergeCell ref="B36:I36"/>
    <mergeCell ref="B5:C5"/>
    <mergeCell ref="D5:E5"/>
    <mergeCell ref="F5:G5"/>
    <mergeCell ref="H5:I5"/>
    <mergeCell ref="B6:C6"/>
    <mergeCell ref="D6:E6"/>
    <mergeCell ref="F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7D22-FB7D-4718-8E8A-53222189801D}">
  <sheetPr>
    <tabColor rgb="FF548235"/>
  </sheetPr>
  <dimension ref="A1:U13"/>
  <sheetViews>
    <sheetView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1" width="9.26953125" bestFit="1" customWidth="1"/>
    <col min="2" max="2" width="10.36328125" bestFit="1" customWidth="1"/>
    <col min="3" max="3" width="9.36328125" bestFit="1" customWidth="1"/>
    <col min="4" max="4" width="17.7265625" bestFit="1" customWidth="1"/>
    <col min="5" max="5" width="13.08984375" bestFit="1" customWidth="1"/>
    <col min="6" max="6" width="11.54296875" bestFit="1" customWidth="1"/>
    <col min="7" max="7" width="11.26953125" bestFit="1" customWidth="1"/>
    <col min="8" max="8" width="13.90625" bestFit="1" customWidth="1"/>
    <col min="9" max="9" width="9.6328125" bestFit="1" customWidth="1"/>
    <col min="10" max="10" width="9.08984375" bestFit="1" customWidth="1"/>
    <col min="11" max="11" width="18.7265625" bestFit="1" customWidth="1"/>
    <col min="12" max="12" width="17.08984375" bestFit="1" customWidth="1"/>
    <col min="13" max="13" width="12.6328125" bestFit="1" customWidth="1"/>
    <col min="14" max="14" width="11.7265625" bestFit="1" customWidth="1"/>
    <col min="15" max="15" width="9.453125" bestFit="1" customWidth="1"/>
    <col min="16" max="16" width="13.6328125" bestFit="1" customWidth="1"/>
    <col min="17" max="17" width="10.1796875" bestFit="1" customWidth="1"/>
    <col min="18" max="18" width="13.26953125" bestFit="1" customWidth="1"/>
    <col min="19" max="19" width="13.81640625" bestFit="1" customWidth="1"/>
    <col min="20" max="20" width="12.1796875" bestFit="1" customWidth="1"/>
    <col min="21" max="21" width="23.8164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s="5">
        <v>45306</v>
      </c>
      <c r="L2">
        <v>2020</v>
      </c>
      <c r="M2" s="4">
        <v>45000</v>
      </c>
      <c r="N2" s="3">
        <v>18500000</v>
      </c>
      <c r="O2">
        <v>4</v>
      </c>
      <c r="P2">
        <v>1</v>
      </c>
      <c r="Q2">
        <v>1</v>
      </c>
      <c r="R2" s="5">
        <v>45332</v>
      </c>
      <c r="S2" s="3">
        <v>18500000</v>
      </c>
      <c r="T2">
        <v>2024</v>
      </c>
      <c r="U2" s="3">
        <f t="shared" ref="U2:U13" si="0">IF(P2=1,N2*1.1,N2)</f>
        <v>20350000</v>
      </c>
    </row>
    <row r="3" spans="1:21" x14ac:dyDescent="0.35">
      <c r="A3">
        <v>2</v>
      </c>
      <c r="B3" t="s">
        <v>21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29</v>
      </c>
      <c r="K3" s="5">
        <v>45342</v>
      </c>
      <c r="L3">
        <v>2024</v>
      </c>
      <c r="M3" s="4">
        <v>0</v>
      </c>
      <c r="N3" s="3">
        <v>42000000</v>
      </c>
      <c r="O3">
        <v>4</v>
      </c>
      <c r="P3">
        <v>0</v>
      </c>
      <c r="R3" s="5"/>
      <c r="S3" s="3"/>
      <c r="U3" s="3">
        <f t="shared" si="0"/>
        <v>42000000</v>
      </c>
    </row>
    <row r="4" spans="1:21" x14ac:dyDescent="0.35">
      <c r="A4">
        <v>3</v>
      </c>
      <c r="B4" t="s">
        <v>37</v>
      </c>
      <c r="C4" t="s">
        <v>38</v>
      </c>
      <c r="D4" t="s">
        <v>23</v>
      </c>
      <c r="E4" t="s">
        <v>32</v>
      </c>
      <c r="F4" t="s">
        <v>39</v>
      </c>
      <c r="G4" t="s">
        <v>40</v>
      </c>
      <c r="H4" t="s">
        <v>41</v>
      </c>
      <c r="I4" t="s">
        <v>28</v>
      </c>
      <c r="J4" t="s">
        <v>29</v>
      </c>
      <c r="K4" s="5">
        <v>45356</v>
      </c>
      <c r="L4">
        <v>2019</v>
      </c>
      <c r="M4" s="4">
        <v>68000</v>
      </c>
      <c r="N4" s="3">
        <v>11800000</v>
      </c>
      <c r="O4">
        <v>5</v>
      </c>
      <c r="P4">
        <v>1</v>
      </c>
      <c r="Q4">
        <v>2</v>
      </c>
      <c r="R4" s="5">
        <v>45394</v>
      </c>
      <c r="S4" s="3">
        <v>12000000</v>
      </c>
      <c r="T4">
        <v>2024</v>
      </c>
      <c r="U4" s="3">
        <f t="shared" si="0"/>
        <v>12980000.000000002</v>
      </c>
    </row>
    <row r="5" spans="1:21" x14ac:dyDescent="0.35">
      <c r="A5">
        <v>4</v>
      </c>
      <c r="B5" t="s">
        <v>37</v>
      </c>
      <c r="C5" t="s">
        <v>42</v>
      </c>
      <c r="D5" t="s">
        <v>31</v>
      </c>
      <c r="E5" t="s">
        <v>24</v>
      </c>
      <c r="F5" t="s">
        <v>33</v>
      </c>
      <c r="G5" t="s">
        <v>43</v>
      </c>
      <c r="H5" t="s">
        <v>44</v>
      </c>
      <c r="I5" t="s">
        <v>45</v>
      </c>
      <c r="J5" t="s">
        <v>46</v>
      </c>
      <c r="K5" s="5">
        <v>45392</v>
      </c>
      <c r="L5">
        <v>2022</v>
      </c>
      <c r="M5" s="4">
        <v>22000</v>
      </c>
      <c r="N5" s="3">
        <v>35000000</v>
      </c>
      <c r="O5">
        <v>4</v>
      </c>
      <c r="P5">
        <v>0</v>
      </c>
      <c r="R5" s="5"/>
      <c r="S5" s="3"/>
      <c r="U5" s="3">
        <f t="shared" si="0"/>
        <v>35000000</v>
      </c>
    </row>
    <row r="6" spans="1:21" x14ac:dyDescent="0.35">
      <c r="A6">
        <v>5</v>
      </c>
      <c r="B6" t="s">
        <v>47</v>
      </c>
      <c r="C6" t="s">
        <v>48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s="5">
        <v>45430</v>
      </c>
      <c r="L6">
        <v>2021</v>
      </c>
      <c r="M6" s="4">
        <v>35000</v>
      </c>
      <c r="N6" s="3">
        <v>22000000</v>
      </c>
      <c r="O6">
        <v>4</v>
      </c>
      <c r="P6">
        <v>1</v>
      </c>
      <c r="Q6">
        <v>3</v>
      </c>
      <c r="R6" s="5">
        <v>45448</v>
      </c>
      <c r="S6" s="3">
        <v>22500000</v>
      </c>
      <c r="T6">
        <v>2024</v>
      </c>
      <c r="U6" s="3">
        <f t="shared" si="0"/>
        <v>24200000.000000004</v>
      </c>
    </row>
    <row r="7" spans="1:21" x14ac:dyDescent="0.35">
      <c r="A7">
        <v>6</v>
      </c>
      <c r="B7" t="s">
        <v>47</v>
      </c>
      <c r="C7" t="s">
        <v>49</v>
      </c>
      <c r="D7" t="s">
        <v>23</v>
      </c>
      <c r="E7" t="s">
        <v>32</v>
      </c>
      <c r="F7" t="s">
        <v>39</v>
      </c>
      <c r="G7" t="s">
        <v>50</v>
      </c>
      <c r="H7" t="s">
        <v>50</v>
      </c>
      <c r="I7" t="s">
        <v>36</v>
      </c>
      <c r="J7" t="s">
        <v>29</v>
      </c>
      <c r="K7" s="5">
        <v>45444</v>
      </c>
      <c r="L7">
        <v>2024</v>
      </c>
      <c r="M7" s="4">
        <v>0</v>
      </c>
      <c r="N7" s="3">
        <v>16500000</v>
      </c>
      <c r="O7">
        <v>5</v>
      </c>
      <c r="P7">
        <v>0</v>
      </c>
      <c r="R7" s="5"/>
      <c r="S7" s="3"/>
      <c r="U7" s="3">
        <f t="shared" si="0"/>
        <v>16500000</v>
      </c>
    </row>
    <row r="8" spans="1:21" x14ac:dyDescent="0.35">
      <c r="A8">
        <v>7</v>
      </c>
      <c r="B8" t="s">
        <v>51</v>
      </c>
      <c r="C8" t="s">
        <v>52</v>
      </c>
      <c r="D8" t="s">
        <v>23</v>
      </c>
      <c r="E8" t="s">
        <v>32</v>
      </c>
      <c r="F8" t="s">
        <v>39</v>
      </c>
      <c r="G8" t="s">
        <v>53</v>
      </c>
      <c r="H8" t="s">
        <v>53</v>
      </c>
      <c r="I8" t="s">
        <v>28</v>
      </c>
      <c r="J8" t="s">
        <v>29</v>
      </c>
      <c r="K8" s="5">
        <v>45485</v>
      </c>
      <c r="L8">
        <v>2018</v>
      </c>
      <c r="M8" s="4">
        <v>89000</v>
      </c>
      <c r="N8" s="3">
        <v>12500000</v>
      </c>
      <c r="O8">
        <v>5</v>
      </c>
      <c r="P8">
        <v>1</v>
      </c>
      <c r="Q8">
        <v>4</v>
      </c>
      <c r="R8" s="5">
        <v>45505</v>
      </c>
      <c r="S8" s="3">
        <v>12800000</v>
      </c>
      <c r="T8">
        <v>2024</v>
      </c>
      <c r="U8" s="3">
        <f t="shared" si="0"/>
        <v>13750000.000000002</v>
      </c>
    </row>
    <row r="9" spans="1:21" x14ac:dyDescent="0.35">
      <c r="A9">
        <v>8</v>
      </c>
      <c r="B9" t="s">
        <v>51</v>
      </c>
      <c r="C9" t="s">
        <v>54</v>
      </c>
      <c r="D9" t="s">
        <v>31</v>
      </c>
      <c r="E9" t="s">
        <v>24</v>
      </c>
      <c r="F9" t="s">
        <v>33</v>
      </c>
      <c r="G9" t="s">
        <v>34</v>
      </c>
      <c r="H9" t="s">
        <v>35</v>
      </c>
      <c r="I9" t="s">
        <v>45</v>
      </c>
      <c r="J9" t="s">
        <v>46</v>
      </c>
      <c r="K9" s="5">
        <v>45507</v>
      </c>
      <c r="L9">
        <v>2023</v>
      </c>
      <c r="M9" s="4">
        <v>15000</v>
      </c>
      <c r="N9" s="3">
        <v>38000000</v>
      </c>
      <c r="O9">
        <v>4</v>
      </c>
      <c r="P9">
        <v>0</v>
      </c>
      <c r="R9" s="5"/>
      <c r="S9" s="3"/>
      <c r="U9" s="3">
        <f t="shared" si="0"/>
        <v>38000000</v>
      </c>
    </row>
    <row r="10" spans="1:21" x14ac:dyDescent="0.35">
      <c r="A10">
        <v>9</v>
      </c>
      <c r="B10" t="s">
        <v>55</v>
      </c>
      <c r="C10">
        <v>208</v>
      </c>
      <c r="D10" t="s">
        <v>23</v>
      </c>
      <c r="E10" t="s">
        <v>32</v>
      </c>
      <c r="F10" t="s">
        <v>39</v>
      </c>
      <c r="G10" t="s">
        <v>40</v>
      </c>
      <c r="H10" t="s">
        <v>41</v>
      </c>
      <c r="I10" t="s">
        <v>36</v>
      </c>
      <c r="J10" t="s">
        <v>29</v>
      </c>
      <c r="K10" s="5">
        <v>45550</v>
      </c>
      <c r="L10">
        <v>2024</v>
      </c>
      <c r="M10" s="4">
        <v>0</v>
      </c>
      <c r="N10" s="3">
        <v>19800000</v>
      </c>
      <c r="O10">
        <v>5</v>
      </c>
      <c r="P10">
        <v>1</v>
      </c>
      <c r="Q10">
        <v>5</v>
      </c>
      <c r="R10" s="5">
        <v>45567</v>
      </c>
      <c r="S10" s="3">
        <v>20000000</v>
      </c>
      <c r="T10">
        <v>2024</v>
      </c>
      <c r="U10" s="3">
        <f t="shared" si="0"/>
        <v>21780000</v>
      </c>
    </row>
    <row r="11" spans="1:21" x14ac:dyDescent="0.35">
      <c r="A11">
        <v>10</v>
      </c>
      <c r="B11" t="s">
        <v>55</v>
      </c>
      <c r="C11">
        <v>3008</v>
      </c>
      <c r="D11" t="s">
        <v>23</v>
      </c>
      <c r="E11" t="s">
        <v>24</v>
      </c>
      <c r="F11" t="s">
        <v>56</v>
      </c>
      <c r="G11" t="s">
        <v>43</v>
      </c>
      <c r="H11" t="s">
        <v>44</v>
      </c>
      <c r="I11" t="s">
        <v>36</v>
      </c>
      <c r="J11" t="s">
        <v>46</v>
      </c>
      <c r="K11" s="5">
        <v>45585</v>
      </c>
      <c r="L11">
        <v>2024</v>
      </c>
      <c r="M11" s="4">
        <v>0</v>
      </c>
      <c r="N11" s="3">
        <v>32000000</v>
      </c>
      <c r="O11">
        <v>5</v>
      </c>
      <c r="P11">
        <v>0</v>
      </c>
      <c r="R11" s="5"/>
      <c r="S11" s="3"/>
      <c r="U11" s="3">
        <f t="shared" si="0"/>
        <v>32000000</v>
      </c>
    </row>
    <row r="12" spans="1:21" x14ac:dyDescent="0.35">
      <c r="A12">
        <v>11</v>
      </c>
      <c r="B12" t="s">
        <v>57</v>
      </c>
      <c r="C12" t="s">
        <v>58</v>
      </c>
      <c r="D12" t="s">
        <v>23</v>
      </c>
      <c r="E12" t="s">
        <v>32</v>
      </c>
      <c r="F12" t="s">
        <v>39</v>
      </c>
      <c r="G12" t="s">
        <v>26</v>
      </c>
      <c r="H12" t="s">
        <v>27</v>
      </c>
      <c r="I12" t="s">
        <v>36</v>
      </c>
      <c r="J12" t="s">
        <v>29</v>
      </c>
      <c r="K12" s="5">
        <v>45601</v>
      </c>
      <c r="L12">
        <v>2024</v>
      </c>
      <c r="M12" s="4">
        <v>0</v>
      </c>
      <c r="N12" s="3">
        <v>14200000</v>
      </c>
      <c r="O12">
        <v>5</v>
      </c>
      <c r="P12">
        <v>1</v>
      </c>
      <c r="R12" s="5"/>
      <c r="S12" s="3"/>
      <c r="U12" s="3">
        <f t="shared" si="0"/>
        <v>15620000.000000002</v>
      </c>
    </row>
    <row r="13" spans="1:21" x14ac:dyDescent="0.35">
      <c r="A13">
        <v>12</v>
      </c>
      <c r="B13" t="s">
        <v>57</v>
      </c>
      <c r="C13" t="s">
        <v>59</v>
      </c>
      <c r="D13" t="s">
        <v>31</v>
      </c>
      <c r="E13" t="s">
        <v>32</v>
      </c>
      <c r="F13" t="s">
        <v>56</v>
      </c>
      <c r="G13" t="s">
        <v>50</v>
      </c>
      <c r="H13" t="s">
        <v>50</v>
      </c>
      <c r="I13" t="s">
        <v>28</v>
      </c>
      <c r="J13" t="s">
        <v>46</v>
      </c>
      <c r="K13" s="5">
        <v>45629</v>
      </c>
      <c r="L13">
        <v>2020</v>
      </c>
      <c r="M13" s="4">
        <v>52000</v>
      </c>
      <c r="N13" s="3">
        <v>24500000</v>
      </c>
      <c r="O13">
        <v>5</v>
      </c>
      <c r="P13">
        <v>0</v>
      </c>
      <c r="R13" s="5"/>
      <c r="S13" s="3"/>
      <c r="U13" s="3">
        <f t="shared" si="0"/>
        <v>24500000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9080-284E-4175-A5C9-7E5AA3BE58EA}">
  <sheetPr>
    <tabColor rgb="FF1F4E79"/>
  </sheetPr>
  <dimension ref="A1:G22"/>
  <sheetViews>
    <sheetView workbookViewId="0">
      <selection sqref="A1:C1"/>
    </sheetView>
  </sheetViews>
  <sheetFormatPr baseColWidth="10" defaultRowHeight="14.5" x14ac:dyDescent="0.35"/>
  <cols>
    <col min="1" max="1" width="14.81640625" bestFit="1" customWidth="1"/>
    <col min="2" max="2" width="19.54296875" bestFit="1" customWidth="1"/>
    <col min="3" max="3" width="13.6328125" bestFit="1" customWidth="1"/>
    <col min="5" max="5" width="7.453125" bestFit="1" customWidth="1"/>
    <col min="6" max="6" width="6.54296875" bestFit="1" customWidth="1"/>
    <col min="7" max="7" width="15.453125" bestFit="1" customWidth="1"/>
  </cols>
  <sheetData>
    <row r="1" spans="1:7" ht="16" x14ac:dyDescent="0.4">
      <c r="A1" s="33" t="s">
        <v>60</v>
      </c>
      <c r="B1" s="33"/>
      <c r="C1" s="33"/>
      <c r="E1" s="33" t="s">
        <v>72</v>
      </c>
      <c r="F1" s="33"/>
      <c r="G1" s="33"/>
    </row>
    <row r="2" spans="1:7" x14ac:dyDescent="0.35">
      <c r="A2" s="7" t="s">
        <v>61</v>
      </c>
      <c r="B2" s="7" t="s">
        <v>62</v>
      </c>
      <c r="C2" s="7" t="s">
        <v>63</v>
      </c>
      <c r="E2" s="7" t="s">
        <v>73</v>
      </c>
      <c r="F2" s="7" t="s">
        <v>74</v>
      </c>
      <c r="G2" s="7" t="s">
        <v>75</v>
      </c>
    </row>
    <row r="3" spans="1:7" x14ac:dyDescent="0.35">
      <c r="A3" t="s">
        <v>21</v>
      </c>
      <c r="B3" s="3">
        <f>AVERAGEIF(datos!B:B,A3,datos!N:N)</f>
        <v>30250000</v>
      </c>
      <c r="C3">
        <f>COUNTIF(datos!B:B,A3)</f>
        <v>2</v>
      </c>
      <c r="E3" t="s">
        <v>76</v>
      </c>
      <c r="F3">
        <f>COUNTIFS(datos!R:R,"&gt;="&amp;DATE(2024,2,1),datos!R:R,"&lt;"&amp;DATE(2024,3,1))</f>
        <v>1</v>
      </c>
      <c r="G3" s="3">
        <f>SUMIFS(datos!S:S,datos!R:R,"&gt;="&amp;DATE(2024,2,1),datos!R:R,"&lt;"&amp;DATE(2024,3,1))</f>
        <v>18500000</v>
      </c>
    </row>
    <row r="4" spans="1:7" x14ac:dyDescent="0.35">
      <c r="A4" t="s">
        <v>37</v>
      </c>
      <c r="B4" s="3">
        <f>AVERAGEIF(datos!B:B,A4,datos!N:N)</f>
        <v>23400000</v>
      </c>
      <c r="C4">
        <f>COUNTIF(datos!B:B,A4)</f>
        <v>2</v>
      </c>
      <c r="E4" t="s">
        <v>77</v>
      </c>
      <c r="F4">
        <f>COUNTIFS(datos!R:R,"&gt;="&amp;DATE(2024,4,1),datos!R:R,"&lt;"&amp;DATE(2024,5,1))</f>
        <v>1</v>
      </c>
      <c r="G4" s="3">
        <f>SUMIFS(datos!S:S,datos!R:R,"&gt;="&amp;DATE(2024,4,1),datos!R:R,"&lt;"&amp;DATE(2024,5,1))</f>
        <v>12000000</v>
      </c>
    </row>
    <row r="5" spans="1:7" x14ac:dyDescent="0.35">
      <c r="A5" t="s">
        <v>47</v>
      </c>
      <c r="B5" s="3">
        <f>AVERAGEIF(datos!B:B,A5,datos!N:N)</f>
        <v>19250000</v>
      </c>
      <c r="C5">
        <f>COUNTIF(datos!B:B,A5)</f>
        <v>2</v>
      </c>
      <c r="E5" t="s">
        <v>78</v>
      </c>
      <c r="F5">
        <f>COUNTIFS(datos!R:R,"&gt;="&amp;DATE(2024,6,1),datos!R:R,"&lt;"&amp;DATE(2024,7,1))</f>
        <v>1</v>
      </c>
      <c r="G5" s="3">
        <f>SUMIFS(datos!S:S,datos!R:R,"&gt;="&amp;DATE(2024,6,1),datos!R:R,"&lt;"&amp;DATE(2024,7,1))</f>
        <v>22500000</v>
      </c>
    </row>
    <row r="6" spans="1:7" x14ac:dyDescent="0.35">
      <c r="A6" t="s">
        <v>51</v>
      </c>
      <c r="B6" s="3">
        <f>AVERAGEIF(datos!B:B,A6,datos!N:N)</f>
        <v>25250000</v>
      </c>
      <c r="C6">
        <f>COUNTIF(datos!B:B,A6)</f>
        <v>2</v>
      </c>
      <c r="E6" t="s">
        <v>79</v>
      </c>
      <c r="F6">
        <f>COUNTIFS(datos!R:R,"&gt;="&amp;DATE(2024,8,1),datos!R:R,"&lt;"&amp;DATE(2024,9,1))</f>
        <v>1</v>
      </c>
      <c r="G6" s="3">
        <f>SUMIFS(datos!S:S,datos!R:R,"&gt;="&amp;DATE(2024,8,1),datos!R:R,"&lt;"&amp;DATE(2024,9,1))</f>
        <v>12800000</v>
      </c>
    </row>
    <row r="7" spans="1:7" x14ac:dyDescent="0.35">
      <c r="A7" t="s">
        <v>55</v>
      </c>
      <c r="B7" s="3">
        <f>AVERAGEIF(datos!B:B,A7,datos!N:N)</f>
        <v>25900000</v>
      </c>
      <c r="C7">
        <f>COUNTIF(datos!B:B,A7)</f>
        <v>2</v>
      </c>
      <c r="E7" t="s">
        <v>80</v>
      </c>
      <c r="F7">
        <f>COUNTIFS(datos!R:R,"&gt;="&amp;DATE(2024,10,1),datos!R:R,"&lt;"&amp;DATE(2024,11,1))</f>
        <v>1</v>
      </c>
      <c r="G7" s="3">
        <f>SUMIFS(datos!S:S,datos!R:R,"&gt;="&amp;DATE(2024,10,1),datos!R:R,"&lt;"&amp;DATE(2024,11,1))</f>
        <v>20000000</v>
      </c>
    </row>
    <row r="8" spans="1:7" x14ac:dyDescent="0.35">
      <c r="A8" t="s">
        <v>57</v>
      </c>
      <c r="B8" s="3">
        <f>AVERAGEIF(datos!B:B,A8,datos!N:N)</f>
        <v>19350000</v>
      </c>
      <c r="C8">
        <f>COUNTIF(datos!B:B,A8)</f>
        <v>2</v>
      </c>
    </row>
    <row r="10" spans="1:7" ht="16" x14ac:dyDescent="0.4">
      <c r="A10" s="33" t="s">
        <v>64</v>
      </c>
      <c r="B10" s="33"/>
      <c r="C10" s="33"/>
    </row>
    <row r="11" spans="1:7" x14ac:dyDescent="0.35">
      <c r="A11" s="7" t="s">
        <v>65</v>
      </c>
      <c r="B11" s="7" t="s">
        <v>66</v>
      </c>
      <c r="C11" s="7" t="s">
        <v>67</v>
      </c>
    </row>
    <row r="12" spans="1:7" x14ac:dyDescent="0.35">
      <c r="A12" t="s">
        <v>26</v>
      </c>
      <c r="B12">
        <f>COUNTIF(datos!G:G,A12)</f>
        <v>3</v>
      </c>
      <c r="C12" s="8">
        <f t="shared" ref="C12:C17" si="0">B12/SUM($B$12:$B$17)</f>
        <v>0.25</v>
      </c>
    </row>
    <row r="13" spans="1:7" x14ac:dyDescent="0.35">
      <c r="A13" t="s">
        <v>34</v>
      </c>
      <c r="B13">
        <f>COUNTIF(datos!G:G,A13)</f>
        <v>2</v>
      </c>
      <c r="C13" s="8">
        <f t="shared" si="0"/>
        <v>0.16666666666666666</v>
      </c>
    </row>
    <row r="14" spans="1:7" x14ac:dyDescent="0.35">
      <c r="A14" t="s">
        <v>40</v>
      </c>
      <c r="B14">
        <f>COUNTIF(datos!G:G,A14)</f>
        <v>2</v>
      </c>
      <c r="C14" s="8">
        <f t="shared" si="0"/>
        <v>0.16666666666666666</v>
      </c>
    </row>
    <row r="15" spans="1:7" x14ac:dyDescent="0.35">
      <c r="A15" t="s">
        <v>43</v>
      </c>
      <c r="B15">
        <f>COUNTIF(datos!G:G,A15)</f>
        <v>2</v>
      </c>
      <c r="C15" s="8">
        <f t="shared" si="0"/>
        <v>0.16666666666666666</v>
      </c>
    </row>
    <row r="16" spans="1:7" x14ac:dyDescent="0.35">
      <c r="A16" t="s">
        <v>50</v>
      </c>
      <c r="B16">
        <f>COUNTIF(datos!G:G,A16)</f>
        <v>2</v>
      </c>
      <c r="C16" s="8">
        <f t="shared" si="0"/>
        <v>0.16666666666666666</v>
      </c>
    </row>
    <row r="17" spans="1:3" x14ac:dyDescent="0.35">
      <c r="A17" t="s">
        <v>53</v>
      </c>
      <c r="B17">
        <f>COUNTIF(datos!G:G,A17)</f>
        <v>1</v>
      </c>
      <c r="C17" s="8">
        <f t="shared" si="0"/>
        <v>8.3333333333333329E-2</v>
      </c>
    </row>
    <row r="19" spans="1:3" ht="16" x14ac:dyDescent="0.4">
      <c r="A19" s="33" t="s">
        <v>68</v>
      </c>
      <c r="B19" s="33"/>
      <c r="C19" s="33"/>
    </row>
    <row r="20" spans="1:3" x14ac:dyDescent="0.35">
      <c r="A20" s="7" t="s">
        <v>69</v>
      </c>
      <c r="B20" s="7" t="s">
        <v>66</v>
      </c>
      <c r="C20" s="7" t="s">
        <v>67</v>
      </c>
    </row>
    <row r="21" spans="1:3" x14ac:dyDescent="0.35">
      <c r="A21" t="s">
        <v>70</v>
      </c>
      <c r="B21">
        <f>COUNTIF(datos!P:P,1)</f>
        <v>6</v>
      </c>
      <c r="C21" s="8">
        <f>B21/SUM($B$21:$B$22)</f>
        <v>0.5</v>
      </c>
    </row>
    <row r="22" spans="1:3" x14ac:dyDescent="0.35">
      <c r="A22" t="s">
        <v>71</v>
      </c>
      <c r="B22">
        <f>COUNTIF(datos!P:P,0)</f>
        <v>6</v>
      </c>
      <c r="C22" s="8">
        <f>B22/SUM($B$21:$B$22)</f>
        <v>0.5</v>
      </c>
    </row>
  </sheetData>
  <mergeCells count="4">
    <mergeCell ref="A1:C1"/>
    <mergeCell ref="A10:C10"/>
    <mergeCell ref="A19:C19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C54A-C3A8-4784-9885-524773EEB184}">
  <sheetPr>
    <tabColor rgb="FF548235"/>
  </sheetPr>
  <dimension ref="B1:B35"/>
  <sheetViews>
    <sheetView showGridLines="0" workbookViewId="0">
      <selection activeCell="B1" sqref="B1"/>
    </sheetView>
  </sheetViews>
  <sheetFormatPr baseColWidth="10" defaultRowHeight="14.5" x14ac:dyDescent="0.35"/>
  <cols>
    <col min="1" max="1" width="0.90625" customWidth="1"/>
    <col min="2" max="2" width="103.26953125" bestFit="1" customWidth="1"/>
    <col min="3" max="3" width="0.90625" customWidth="1"/>
  </cols>
  <sheetData>
    <row r="1" spans="2:2" ht="40" customHeight="1" x14ac:dyDescent="0.55000000000000004">
      <c r="B1" s="11" t="s">
        <v>94</v>
      </c>
    </row>
    <row r="3" spans="2:2" ht="18.5" x14ac:dyDescent="0.45">
      <c r="B3" s="12" t="s">
        <v>95</v>
      </c>
    </row>
    <row r="4" spans="2:2" ht="50" customHeight="1" x14ac:dyDescent="0.35">
      <c r="B4" s="14" t="s">
        <v>96</v>
      </c>
    </row>
    <row r="6" spans="2:2" ht="18.5" x14ac:dyDescent="0.45">
      <c r="B6" s="12" t="s">
        <v>97</v>
      </c>
    </row>
    <row r="7" spans="2:2" ht="50" customHeight="1" x14ac:dyDescent="0.35">
      <c r="B7" s="14" t="s">
        <v>98</v>
      </c>
    </row>
    <row r="9" spans="2:2" ht="18.5" x14ac:dyDescent="0.45">
      <c r="B9" s="12" t="s">
        <v>99</v>
      </c>
    </row>
    <row r="10" spans="2:2" x14ac:dyDescent="0.35">
      <c r="B10" t="s">
        <v>100</v>
      </c>
    </row>
    <row r="11" spans="2:2" ht="50" customHeight="1" x14ac:dyDescent="0.35">
      <c r="B11" s="14" t="s">
        <v>101</v>
      </c>
    </row>
    <row r="13" spans="2:2" x14ac:dyDescent="0.35">
      <c r="B13" t="s">
        <v>102</v>
      </c>
    </row>
    <row r="14" spans="2:2" ht="50" customHeight="1" x14ac:dyDescent="0.35">
      <c r="B14" s="14" t="s">
        <v>103</v>
      </c>
    </row>
    <row r="16" spans="2:2" x14ac:dyDescent="0.35">
      <c r="B16" t="s">
        <v>104</v>
      </c>
    </row>
    <row r="17" spans="2:2" ht="50" customHeight="1" x14ac:dyDescent="0.35">
      <c r="B17" s="14" t="s">
        <v>105</v>
      </c>
    </row>
    <row r="19" spans="2:2" x14ac:dyDescent="0.35">
      <c r="B19" t="s">
        <v>106</v>
      </c>
    </row>
    <row r="20" spans="2:2" ht="50" customHeight="1" x14ac:dyDescent="0.35">
      <c r="B20" s="14" t="s">
        <v>107</v>
      </c>
    </row>
    <row r="22" spans="2:2" ht="18.5" x14ac:dyDescent="0.45">
      <c r="B22" s="12" t="s">
        <v>108</v>
      </c>
    </row>
    <row r="23" spans="2:2" ht="40" customHeight="1" x14ac:dyDescent="0.35">
      <c r="B23" s="14" t="s">
        <v>109</v>
      </c>
    </row>
    <row r="24" spans="2:2" ht="40" customHeight="1" x14ac:dyDescent="0.35">
      <c r="B24" s="14" t="s">
        <v>110</v>
      </c>
    </row>
    <row r="25" spans="2:2" ht="40" customHeight="1" x14ac:dyDescent="0.35">
      <c r="B25" s="14" t="e">
        <f>- La diversificacion geografica es positiva, aunque Buenos Aires mantiene La mayor concentracion.</f>
        <v>#NAME?</v>
      </c>
    </row>
    <row r="26" spans="2:2" ht="40" customHeight="1" x14ac:dyDescent="0.35">
      <c r="B26" s="14" t="e" cm="1">
        <f t="array" ref="B26">- La oferta de financiacion equilibrada permite captar tanto compradores de contado como financiados.</f>
        <v>#NAME?</v>
      </c>
    </row>
    <row r="28" spans="2:2" ht="18.5" x14ac:dyDescent="0.45">
      <c r="B28" s="12" t="s">
        <v>111</v>
      </c>
    </row>
    <row r="29" spans="2:2" ht="40" customHeight="1" x14ac:dyDescent="0.35">
      <c r="B29" s="14" t="e" cm="1">
        <f t="array" ref="B29">- Ampliar La oferta de financiacion en vehiculos premium para aumentar La conversion.</f>
        <v>#NAME?</v>
      </c>
    </row>
    <row r="30" spans="2:2" ht="40" customHeight="1" x14ac:dyDescent="0.35">
      <c r="B30" s="14" t="e" cm="1">
        <f t="array" ref="B30">- Incrementar publicaciones en provincias con menor oferta (Salta, Neuquen) para captar demanda insatisfecha.</f>
        <v>#NAME?</v>
      </c>
    </row>
    <row r="31" spans="2:2" ht="40" customHeight="1" x14ac:dyDescent="0.35">
      <c r="B31" s="14" t="e" cm="1">
        <f t="array" ref="B31">- Monitorear el comportamiento estacional de ventas para optimizar campanas de marketing.</f>
        <v>#NAME?</v>
      </c>
    </row>
    <row r="32" spans="2:2" ht="40" customHeight="1" x14ac:dyDescent="0.35">
      <c r="B32" s="14" t="e">
        <f>- Considerar La incorporacion de vehiculos electricos e hibridos, actualmente subrepresentados en La oferta.</f>
        <v>#NAME?</v>
      </c>
    </row>
    <row r="34" spans="2:2" x14ac:dyDescent="0.35">
      <c r="B34" s="13" t="s">
        <v>112</v>
      </c>
    </row>
    <row r="35" spans="2:2" x14ac:dyDescent="0.35">
      <c r="B35" s="1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C5DB-53F5-4BFE-945A-B049A3C7983F}">
  <sheetPr>
    <tabColor rgb="FFC55A11"/>
  </sheetPr>
  <dimension ref="B1:D26"/>
  <sheetViews>
    <sheetView showGridLines="0" workbookViewId="0"/>
  </sheetViews>
  <sheetFormatPr baseColWidth="10" defaultRowHeight="14.5" x14ac:dyDescent="0.35"/>
  <cols>
    <col min="1" max="1" width="0.90625" customWidth="1"/>
    <col min="2" max="2" width="28.90625" bestFit="1" customWidth="1"/>
    <col min="3" max="3" width="10.90625" bestFit="1" customWidth="1"/>
    <col min="4" max="4" width="29.90625" bestFit="1" customWidth="1"/>
    <col min="5" max="5" width="0.90625" customWidth="1"/>
  </cols>
  <sheetData>
    <row r="1" spans="2:4" ht="35" customHeight="1" x14ac:dyDescent="0.5">
      <c r="B1" s="34" t="s">
        <v>114</v>
      </c>
      <c r="C1" s="34"/>
      <c r="D1" s="34"/>
    </row>
    <row r="3" spans="2:4" ht="16" x14ac:dyDescent="0.4">
      <c r="B3" s="15" t="s">
        <v>115</v>
      </c>
      <c r="C3" s="15" t="s">
        <v>116</v>
      </c>
      <c r="D3" s="15" t="s">
        <v>117</v>
      </c>
    </row>
    <row r="4" spans="2:4" x14ac:dyDescent="0.35">
      <c r="B4" s="17" t="s">
        <v>118</v>
      </c>
      <c r="C4" s="18">
        <f>MAX(datos!N:N)</f>
        <v>42000000</v>
      </c>
      <c r="D4" s="19" t="s">
        <v>119</v>
      </c>
    </row>
    <row r="5" spans="2:4" x14ac:dyDescent="0.35">
      <c r="B5" t="s">
        <v>120</v>
      </c>
      <c r="C5" s="3">
        <f>MIN(datos!N:N)</f>
        <v>11800000</v>
      </c>
      <c r="D5" s="16" t="s">
        <v>121</v>
      </c>
    </row>
    <row r="6" spans="2:4" x14ac:dyDescent="0.35">
      <c r="B6" s="17" t="s">
        <v>122</v>
      </c>
      <c r="C6" s="18">
        <f>MEDIAN(datos!N2:N13)</f>
        <v>20900000</v>
      </c>
      <c r="D6" s="19" t="s">
        <v>123</v>
      </c>
    </row>
    <row r="7" spans="2:4" x14ac:dyDescent="0.35">
      <c r="B7" t="s">
        <v>124</v>
      </c>
      <c r="C7" s="3">
        <f>STDEV(datos!N2:N13)</f>
        <v>10402796.826727984</v>
      </c>
      <c r="D7" s="16" t="s">
        <v>125</v>
      </c>
    </row>
    <row r="8" spans="2:4" x14ac:dyDescent="0.35">
      <c r="B8" s="17" t="s">
        <v>126</v>
      </c>
      <c r="C8" s="18">
        <f>MAX(datos!N:N)-MIN(datos!N:N)</f>
        <v>30200000</v>
      </c>
      <c r="D8" s="19" t="s">
        <v>127</v>
      </c>
    </row>
    <row r="10" spans="2:4" ht="16" x14ac:dyDescent="0.4">
      <c r="B10" s="15" t="s">
        <v>128</v>
      </c>
      <c r="C10" s="15" t="s">
        <v>116</v>
      </c>
      <c r="D10" s="15" t="s">
        <v>117</v>
      </c>
    </row>
    <row r="11" spans="2:4" x14ac:dyDescent="0.35">
      <c r="B11" t="s">
        <v>129</v>
      </c>
      <c r="C11" s="8">
        <f>COUNTIF(datos!Q2:Q13,"&gt;0")/COUNTA(datos!A2:A13)</f>
        <v>0.41666666666666669</v>
      </c>
      <c r="D11" s="16" t="s">
        <v>130</v>
      </c>
    </row>
    <row r="12" spans="2:4" x14ac:dyDescent="0.35">
      <c r="B12" s="17" t="s">
        <v>131</v>
      </c>
      <c r="C12" s="18">
        <f>AVERAGEIF(datos!S2:S13,"&gt;0")</f>
        <v>17160000</v>
      </c>
      <c r="D12" s="19" t="s">
        <v>132</v>
      </c>
    </row>
    <row r="13" spans="2:4" x14ac:dyDescent="0.35">
      <c r="B13" t="s">
        <v>133</v>
      </c>
      <c r="C13" s="3">
        <f>SUMIF(datos!S2:S13,"&gt;0")</f>
        <v>85800000</v>
      </c>
      <c r="D13" s="16" t="s">
        <v>134</v>
      </c>
    </row>
    <row r="14" spans="2:4" x14ac:dyDescent="0.35">
      <c r="B14" s="17" t="s">
        <v>135</v>
      </c>
      <c r="C14" s="20">
        <f>COUNTIF(datos!I:I,"Nuevo")/COUNTA(datos!I2:I13)</f>
        <v>0.41666666666666669</v>
      </c>
      <c r="D14" s="19" t="s">
        <v>136</v>
      </c>
    </row>
    <row r="15" spans="2:4" x14ac:dyDescent="0.35">
      <c r="B15" t="s">
        <v>137</v>
      </c>
      <c r="C15" s="4">
        <f>AVERAGEIF(datos!I2:I13,"Usado",datos!M2:M13)</f>
        <v>57800</v>
      </c>
      <c r="D15" s="16" t="s">
        <v>138</v>
      </c>
    </row>
    <row r="17" spans="2:4" ht="16" x14ac:dyDescent="0.4">
      <c r="B17" s="15" t="s">
        <v>139</v>
      </c>
      <c r="C17" s="15" t="s">
        <v>116</v>
      </c>
      <c r="D17" s="15" t="s">
        <v>117</v>
      </c>
    </row>
    <row r="18" spans="2:4" x14ac:dyDescent="0.35">
      <c r="B18" s="17" t="s">
        <v>140</v>
      </c>
      <c r="C18" s="21" cm="1">
        <f t="array" ref="C18">AVERAGE(2024-datos!L2:L13)</f>
        <v>2.0833333333333335</v>
      </c>
      <c r="D18" s="19" t="s">
        <v>141</v>
      </c>
    </row>
    <row r="19" spans="2:4" x14ac:dyDescent="0.35">
      <c r="B19" t="s">
        <v>142</v>
      </c>
      <c r="C19">
        <f>MIN(datos!L2:L13)</f>
        <v>2018</v>
      </c>
      <c r="D19" s="16" t="s">
        <v>143</v>
      </c>
    </row>
    <row r="20" spans="2:4" x14ac:dyDescent="0.35">
      <c r="B20" s="17" t="s">
        <v>144</v>
      </c>
      <c r="C20" s="17">
        <f>MAX(datos!L2:L13)</f>
        <v>2024</v>
      </c>
      <c r="D20" s="19" t="s">
        <v>145</v>
      </c>
    </row>
    <row r="22" spans="2:4" ht="16" x14ac:dyDescent="0.4">
      <c r="B22" s="15" t="s">
        <v>146</v>
      </c>
      <c r="C22" s="15" t="s">
        <v>147</v>
      </c>
      <c r="D22" s="15" t="s">
        <v>148</v>
      </c>
    </row>
    <row r="23" spans="2:4" x14ac:dyDescent="0.35">
      <c r="B23" t="s">
        <v>23</v>
      </c>
      <c r="C23">
        <f>COUNTIF(datos!D:D,"Nafta")</f>
        <v>8</v>
      </c>
      <c r="D23" s="3">
        <f>AVERAGEIF(datos!D:D,"Nafta",datos!N:N)</f>
        <v>18412500</v>
      </c>
    </row>
    <row r="24" spans="2:4" x14ac:dyDescent="0.35">
      <c r="B24" s="17" t="s">
        <v>149</v>
      </c>
      <c r="C24" s="17">
        <f>COUNTIF(datos!D:D,"Diésel")</f>
        <v>4</v>
      </c>
      <c r="D24" s="18">
        <f>AVERAGEIF(datos!D:D,"Diésel",datos!N:N)</f>
        <v>34875000</v>
      </c>
    </row>
    <row r="25" spans="2:4" x14ac:dyDescent="0.35">
      <c r="B25" t="s">
        <v>150</v>
      </c>
      <c r="C25">
        <f>COUNTIF(datos!D:D,"Híbrido")</f>
        <v>0</v>
      </c>
    </row>
    <row r="26" spans="2:4" x14ac:dyDescent="0.35">
      <c r="B26" s="17" t="s">
        <v>151</v>
      </c>
      <c r="C26" s="17">
        <f>COUNTIF(datos!D:D,"Eléctrico")</f>
        <v>0</v>
      </c>
      <c r="D26" s="17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datos</vt:lpstr>
      <vt:lpstr>Tablas Dinamicas</vt:lpstr>
      <vt:lpstr>Informe</vt:lpstr>
      <vt:lpstr>Metricas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Lujan Massironi</dc:creator>
  <cp:lastModifiedBy>Maria Lujan Massironi</cp:lastModifiedBy>
  <dcterms:created xsi:type="dcterms:W3CDTF">2026-04-07T12:16:18Z</dcterms:created>
  <dcterms:modified xsi:type="dcterms:W3CDTF">2026-04-07T22:21:16Z</dcterms:modified>
</cp:coreProperties>
</file>