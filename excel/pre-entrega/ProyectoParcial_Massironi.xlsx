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jan\Downloads\"/>
    </mc:Choice>
  </mc:AlternateContent>
  <xr:revisionPtr revIDLastSave="0" documentId="13_ncr:1_{0B0044C6-A3A5-40A6-A9A8-B181E538FB3D}" xr6:coauthVersionLast="47" xr6:coauthVersionMax="47" xr10:uidLastSave="{00000000-0000-0000-0000-000000000000}"/>
  <bookViews>
    <workbookView xWindow="-110" yWindow="-110" windowWidth="19420" windowHeight="11500" firstSheet="1" activeTab="4" xr2:uid="{00000000-000D-0000-FFFF-FFFF00000000}"/>
  </bookViews>
  <sheets>
    <sheet name="Proyecto" sheetId="1" r:id="rId1"/>
    <sheet name="Base_Cruda" sheetId="5" r:id="rId2"/>
    <sheet name="Data_autos" sheetId="2" r:id="rId3"/>
    <sheet name="Analisis" sheetId="3" r:id="rId4"/>
    <sheet name="Dashboard" sheetId="4" r:id="rId5"/>
  </sheets>
  <definedNames>
    <definedName name="_xlchart.v5.0" hidden="1">Analisis!$A$16</definedName>
    <definedName name="_xlchart.v5.1" hidden="1">Analisis!$A$17:$A$21</definedName>
    <definedName name="_xlchart.v5.2" hidden="1">Analisis!$B$16</definedName>
    <definedName name="_xlchart.v5.3" hidden="1">Analisis!$B$17:$B$21</definedName>
    <definedName name="SegmentaciónDeDatos_Estado">#N/A</definedName>
  </definedNames>
  <calcPr calcId="191029"/>
  <pivotCaches>
    <pivotCache cacheId="11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F5" i="3"/>
  <c r="B6" i="3"/>
  <c r="F6" i="3"/>
  <c r="B7" i="3"/>
  <c r="F7" i="3"/>
  <c r="B8" i="3"/>
  <c r="F8" i="3"/>
  <c r="B9" i="3"/>
  <c r="F9" i="3"/>
  <c r="B10" i="3"/>
  <c r="F10" i="3"/>
  <c r="B11" i="3"/>
  <c r="F11" i="3"/>
  <c r="B12" i="3"/>
  <c r="F12" i="3"/>
  <c r="B13" i="3"/>
  <c r="F13" i="3"/>
  <c r="Q2" i="2"/>
  <c r="R2" i="2"/>
  <c r="Q3" i="2"/>
  <c r="R3" i="2"/>
  <c r="Q4" i="2"/>
  <c r="R4" i="2"/>
  <c r="Q5" i="2"/>
  <c r="R5" i="2"/>
  <c r="Q6" i="2"/>
  <c r="R6" i="2"/>
  <c r="Q7" i="2"/>
  <c r="R7" i="2"/>
  <c r="Q8" i="2"/>
  <c r="R8" i="2"/>
  <c r="Q9" i="2"/>
  <c r="R9" i="2"/>
  <c r="Q10" i="2"/>
  <c r="R10" i="2"/>
  <c r="Q11" i="2"/>
  <c r="R11" i="2"/>
  <c r="Q12" i="2"/>
  <c r="R12" i="2"/>
  <c r="Q13" i="2"/>
  <c r="R13" i="2"/>
  <c r="Q14" i="2"/>
  <c r="R14" i="2"/>
  <c r="Q15" i="2"/>
  <c r="R15" i="2"/>
  <c r="Q16" i="2"/>
  <c r="R16" i="2"/>
  <c r="Q17" i="2"/>
  <c r="R17" i="2"/>
  <c r="Q18" i="2"/>
  <c r="R18" i="2"/>
  <c r="Q19" i="2"/>
  <c r="R19" i="2"/>
  <c r="Q20" i="2"/>
  <c r="R20" i="2"/>
  <c r="Q21" i="2"/>
  <c r="R21" i="2"/>
  <c r="Q22" i="2"/>
  <c r="R22" i="2"/>
  <c r="Q23" i="2"/>
  <c r="R23" i="2"/>
  <c r="Q24" i="2"/>
  <c r="R24" i="2"/>
  <c r="Q25" i="2"/>
  <c r="R25" i="2"/>
  <c r="Q26" i="2"/>
  <c r="R26" i="2"/>
  <c r="Q27" i="2"/>
  <c r="R27" i="2"/>
  <c r="Q28" i="2"/>
  <c r="R28" i="2"/>
  <c r="Q29" i="2"/>
  <c r="R29" i="2"/>
  <c r="Q30" i="2"/>
  <c r="R30" i="2"/>
  <c r="Q31" i="2"/>
  <c r="R31" i="2"/>
  <c r="Q32" i="2"/>
  <c r="R32" i="2"/>
  <c r="Q33" i="2"/>
  <c r="R33" i="2"/>
  <c r="Q34" i="2"/>
  <c r="R34" i="2"/>
  <c r="Q35" i="2"/>
  <c r="R35" i="2"/>
  <c r="Q36" i="2"/>
  <c r="R36" i="2"/>
  <c r="Q37" i="2"/>
  <c r="R37" i="2"/>
  <c r="Q38" i="2"/>
  <c r="R38" i="2"/>
  <c r="Q39" i="2"/>
  <c r="R39" i="2"/>
  <c r="Q40" i="2"/>
  <c r="R40" i="2"/>
  <c r="Q41" i="2"/>
  <c r="R41" i="2"/>
  <c r="B24" i="3" l="1"/>
  <c r="B23" i="3"/>
  <c r="B22" i="3"/>
  <c r="B21" i="3"/>
  <c r="B20" i="3"/>
  <c r="C34" i="3"/>
  <c r="B34" i="3"/>
  <c r="C33" i="3"/>
  <c r="B33" i="3"/>
  <c r="C32" i="3"/>
  <c r="B32" i="3"/>
  <c r="E23" i="3"/>
  <c r="F19" i="3" s="1"/>
  <c r="F23" i="3" s="1"/>
  <c r="E21" i="3"/>
  <c r="F21" i="3" l="1"/>
  <c r="M5" i="4" s="1"/>
</calcChain>
</file>

<file path=xl/sharedStrings.xml><?xml version="1.0" encoding="utf-8"?>
<sst xmlns="http://schemas.openxmlformats.org/spreadsheetml/2006/main" count="1010" uniqueCount="131">
  <si>
    <t>Campo</t>
  </si>
  <si>
    <t>Descripción</t>
  </si>
  <si>
    <t>Título del proyecto</t>
  </si>
  <si>
    <t>Análisis de la oferta y ventas de autos en la Feria del Automóvil</t>
  </si>
  <si>
    <t>Se realiza un análisis exploratorio de los autos ofrecidos y vendidos en la feria, para identificar patrones de precios, marcas más frecuentes y tipos de combustible más comunes.</t>
  </si>
  <si>
    <t>Autora</t>
  </si>
  <si>
    <t>María Luján Massironi</t>
  </si>
  <si>
    <t>Programa académico</t>
  </si>
  <si>
    <t>Diplomatura en Data Science – Coderhouse</t>
  </si>
  <si>
    <t>Objetivo principal</t>
  </si>
  <si>
    <t>Detectar tendencias de mercado en base al tipo de vehículo, precio y características.</t>
  </si>
  <si>
    <t>Fuente de datos</t>
  </si>
  <si>
    <t>Dataset simulado coherente con publicaciones reales.</t>
  </si>
  <si>
    <t>Estructura</t>
  </si>
  <si>
    <t>40 observaciones, 17 columnas.</t>
  </si>
  <si>
    <t>ID_Auto</t>
  </si>
  <si>
    <t>Marca</t>
  </si>
  <si>
    <t>Modelo</t>
  </si>
  <si>
    <t>Año</t>
  </si>
  <si>
    <t>Kilometraje</t>
  </si>
  <si>
    <t>Precio_ARS</t>
  </si>
  <si>
    <t>Tipo_Combustible</t>
  </si>
  <si>
    <t>Transmisión</t>
  </si>
  <si>
    <t>Color</t>
  </si>
  <si>
    <t>Puertas</t>
  </si>
  <si>
    <t>Carrocería</t>
  </si>
  <si>
    <t>Provincia</t>
  </si>
  <si>
    <t>Fecha_Publicación</t>
  </si>
  <si>
    <t>Estado</t>
  </si>
  <si>
    <t>Origen</t>
  </si>
  <si>
    <t>Financiación</t>
  </si>
  <si>
    <t>Precio_Nivel</t>
  </si>
  <si>
    <t>Es_Nacional</t>
  </si>
  <si>
    <t>Citroën</t>
  </si>
  <si>
    <t>Berlingo</t>
  </si>
  <si>
    <t>Híbrido</t>
  </si>
  <si>
    <t>Automática</t>
  </si>
  <si>
    <t>Rojo</t>
  </si>
  <si>
    <t>Sedán</t>
  </si>
  <si>
    <t>Mendoza</t>
  </si>
  <si>
    <t>2023-08-04</t>
  </si>
  <si>
    <t>Seminuevo</t>
  </si>
  <si>
    <t>Importado</t>
  </si>
  <si>
    <t>No</t>
  </si>
  <si>
    <t>Renault</t>
  </si>
  <si>
    <t>Kwid</t>
  </si>
  <si>
    <t>Nafta</t>
  </si>
  <si>
    <t>Plateado</t>
  </si>
  <si>
    <t>Santa Fe</t>
  </si>
  <si>
    <t>2025-03-02</t>
  </si>
  <si>
    <t>Sí</t>
  </si>
  <si>
    <t>Ford</t>
  </si>
  <si>
    <t>Fiesta</t>
  </si>
  <si>
    <t>Azul</t>
  </si>
  <si>
    <t>SUV</t>
  </si>
  <si>
    <t>Córdoba</t>
  </si>
  <si>
    <t>2023-11-26</t>
  </si>
  <si>
    <t>Excelente</t>
  </si>
  <si>
    <t>Nacional</t>
  </si>
  <si>
    <t>Peugeot</t>
  </si>
  <si>
    <t>208</t>
  </si>
  <si>
    <t>Gris</t>
  </si>
  <si>
    <t>Pickup</t>
  </si>
  <si>
    <t>Entre Ríos</t>
  </si>
  <si>
    <t>2024-03-23</t>
  </si>
  <si>
    <t>Honda</t>
  </si>
  <si>
    <t>Fit</t>
  </si>
  <si>
    <t>Manual</t>
  </si>
  <si>
    <t>2025-10-05</t>
  </si>
  <si>
    <t>2008</t>
  </si>
  <si>
    <t>2023-10-16</t>
  </si>
  <si>
    <t>Fiat</t>
  </si>
  <si>
    <t>Argo</t>
  </si>
  <si>
    <t>2023-10-07</t>
  </si>
  <si>
    <t>Usado</t>
  </si>
  <si>
    <t>Diésel</t>
  </si>
  <si>
    <t>Hatchback</t>
  </si>
  <si>
    <t>2023-09-19</t>
  </si>
  <si>
    <t>Ranger</t>
  </si>
  <si>
    <t>Blanco</t>
  </si>
  <si>
    <t>2024-01-04</t>
  </si>
  <si>
    <t>Toyota</t>
  </si>
  <si>
    <t>Yaris</t>
  </si>
  <si>
    <t>2023-10-18</t>
  </si>
  <si>
    <t>Civic</t>
  </si>
  <si>
    <t>2025-08-22</t>
  </si>
  <si>
    <t>Toro</t>
  </si>
  <si>
    <t>2023-11-11</t>
  </si>
  <si>
    <t>Volkswagen</t>
  </si>
  <si>
    <t>Amarok</t>
  </si>
  <si>
    <t>2023-03-11</t>
  </si>
  <si>
    <t>HR-V</t>
  </si>
  <si>
    <t>2023-06-09</t>
  </si>
  <si>
    <t>Sandero</t>
  </si>
  <si>
    <t>2023-08-11</t>
  </si>
  <si>
    <t>2024-03-10</t>
  </si>
  <si>
    <t>Chevrolet</t>
  </si>
  <si>
    <t>Cruze</t>
  </si>
  <si>
    <t>Buenos Aires</t>
  </si>
  <si>
    <t>2024-10-05</t>
  </si>
  <si>
    <t>2023-08-16</t>
  </si>
  <si>
    <t>Focus</t>
  </si>
  <si>
    <t>2025-05-20</t>
  </si>
  <si>
    <t>2024-05-05</t>
  </si>
  <si>
    <t>Cantidad</t>
  </si>
  <si>
    <t>Precio promedio (ARS)</t>
  </si>
  <si>
    <t>Con financiación</t>
  </si>
  <si>
    <t>% Con financiación</t>
  </si>
  <si>
    <t>Sin financiación</t>
  </si>
  <si>
    <t>% Sin financiación</t>
  </si>
  <si>
    <t>Tipo de combustible</t>
  </si>
  <si>
    <t>Cantidad de Autos</t>
  </si>
  <si>
    <t>Dashboard – Feria del Automóvil: Análisis de Ventas y Ofertas</t>
  </si>
  <si>
    <t>👉 Aquí se insertarán las Tablas y Gráficos Dinámicos vinculados a la hoja 'Data_autos'</t>
  </si>
  <si>
    <t>% con financiación</t>
  </si>
  <si>
    <t>Esta es la base de datos cruda original, antes del proceso de limpieza y normalización.</t>
  </si>
  <si>
    <t>¿Cuántos autos hay por marca?</t>
  </si>
  <si>
    <t>Usar CONTAR.SI sobre la columna Marca (B).</t>
  </si>
  <si>
    <t>¿Cuál es el precio promedio por marca?</t>
  </si>
  <si>
    <t>Usar PROMEDIO.SI con columna Precio_ARS.</t>
  </si>
  <si>
    <t>¿Cuántos autos ofrecen financiación?</t>
  </si>
  <si>
    <t>Usar CONTAR.SI en columna Financiación (Q).</t>
  </si>
  <si>
    <t>¿Qué tipo de combustible es más común?</t>
  </si>
  <si>
    <t>Usar CONTAR.SI en columna Tipo_Combustible (G).</t>
  </si>
  <si>
    <t>¿Qué porcentaje tiene financiación?</t>
  </si>
  <si>
    <t>Usar fórmula =F2/F4 en tabla de financiación.</t>
  </si>
  <si>
    <t>TOTAL DE AUTOS:</t>
  </si>
  <si>
    <t>Cuenta de ID_Auto</t>
  </si>
  <si>
    <t>Etiquetas de fila</t>
  </si>
  <si>
    <t>Total general</t>
  </si>
  <si>
    <t>Etiquetas de 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</si>
</sst>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5" formatCode="dd\-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</font>
    <font>
      <b/>
      <sz val="12"/>
      <color rgb="FF9C0006"/>
      <name val="Calibri"/>
    </font>
    <font>
      <i/>
      <sz val="11"/>
      <color rgb="FF555555"/>
      <name val="Calibri"/>
    </font>
    <font>
      <b/>
      <sz val="14"/>
      <color rgb="FF9C0006"/>
      <name val="Calibri"/>
    </font>
    <font>
      <i/>
      <sz val="11"/>
      <color rgb="FF777777"/>
      <name val="Calibri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rgb="FF8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vertical="center" wrapText="1"/>
    </xf>
    <xf numFmtId="0" fontId="0" fillId="0" borderId="1" xfId="0" applyBorder="1"/>
    <xf numFmtId="164" fontId="0" fillId="0" borderId="1" xfId="0" applyNumberFormat="1" applyBorder="1"/>
    <xf numFmtId="0" fontId="2" fillId="2" borderId="1" xfId="0" applyFont="1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9" fontId="0" fillId="0" borderId="1" xfId="0" applyNumberFormat="1" applyBorder="1"/>
    <xf numFmtId="0" fontId="2" fillId="3" borderId="0" xfId="0" applyFont="1" applyFill="1"/>
    <xf numFmtId="9" fontId="0" fillId="0" borderId="0" xfId="0" applyNumberFormat="1"/>
    <xf numFmtId="0" fontId="2" fillId="3" borderId="0" xfId="0" applyFont="1" applyFill="1" applyAlignment="1">
      <alignment horizontal="right"/>
    </xf>
    <xf numFmtId="0" fontId="8" fillId="0" borderId="0" xfId="0" applyFont="1"/>
    <xf numFmtId="0" fontId="5" fillId="0" borderId="0" xfId="0" applyFont="1"/>
    <xf numFmtId="0" fontId="6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/>
    <xf numFmtId="0" fontId="0" fillId="0" borderId="1" xfId="0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7" fillId="0" borderId="0" xfId="0" applyFont="1" applyAlignment="1">
      <alignment horizontal="center" vertical="center"/>
    </xf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[ProyectoParcial_Massironi.xlsx]Dashboard!TablaDinámica1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Cantidad de autos</a:t>
            </a:r>
            <a:r>
              <a:rPr lang="en-US" baseline="0"/>
              <a:t> por marca</a:t>
            </a:r>
            <a:endParaRPr lang="en-US"/>
          </a:p>
        </c:rich>
      </c:tx>
      <c:layout>
        <c:manualLayout>
          <c:xMode val="edge"/>
          <c:yMode val="edge"/>
          <c:x val="0.25852077865266843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Dashboard!$A$18:$A$27</c:f>
              <c:strCache>
                <c:ptCount val="9"/>
                <c:pt idx="0">
                  <c:v>Chevrolet</c:v>
                </c:pt>
                <c:pt idx="1">
                  <c:v>Citroën</c:v>
                </c:pt>
                <c:pt idx="2">
                  <c:v>Fiat</c:v>
                </c:pt>
                <c:pt idx="3">
                  <c:v>Ford</c:v>
                </c:pt>
                <c:pt idx="4">
                  <c:v>Honda</c:v>
                </c:pt>
                <c:pt idx="5">
                  <c:v>Peugeot</c:v>
                </c:pt>
                <c:pt idx="6">
                  <c:v>Renault</c:v>
                </c:pt>
                <c:pt idx="7">
                  <c:v>Toyota</c:v>
                </c:pt>
                <c:pt idx="8">
                  <c:v>Volkswagen</c:v>
                </c:pt>
              </c:strCache>
            </c:strRef>
          </c:cat>
          <c:val>
            <c:numRef>
              <c:f>Dashboard!$B$18:$B$27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6</c:v>
                </c:pt>
                <c:pt idx="5">
                  <c:v>8</c:v>
                </c:pt>
                <c:pt idx="6">
                  <c:v>6</c:v>
                </c:pt>
                <c:pt idx="7">
                  <c:v>2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47-448C-A4B6-D08778B8C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435009071"/>
        <c:axId val="1434993231"/>
      </c:barChart>
      <c:catAx>
        <c:axId val="143500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34993231"/>
        <c:crosses val="autoZero"/>
        <c:auto val="1"/>
        <c:lblAlgn val="ctr"/>
        <c:lblOffset val="100"/>
        <c:noMultiLvlLbl val="0"/>
      </c:catAx>
      <c:valAx>
        <c:axId val="143499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3500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[ProyectoParcial_Massironi.xlsx]Dashboard!TablaDinámica2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800" b="1" i="0" u="none" strike="noStrike" baseline="0"/>
              <a:t>Distribución por Tipo de Combustible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6392859540013207E-2"/>
          <c:y val="0.23558620612285536"/>
          <c:w val="0.77550889574370807"/>
          <c:h val="0.76441379387714459"/>
        </c:manualLayout>
      </c:layout>
      <c:pie3DChart>
        <c:varyColors val="1"/>
        <c:ser>
          <c:idx val="0"/>
          <c:order val="0"/>
          <c:tx>
            <c:strRef>
              <c:f>Dashboard!$H$40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2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Dashboard!$G$41:$G$44</c:f>
              <c:strCache>
                <c:ptCount val="3"/>
                <c:pt idx="0">
                  <c:v>Diésel</c:v>
                </c:pt>
                <c:pt idx="1">
                  <c:v>Híbrido</c:v>
                </c:pt>
                <c:pt idx="2">
                  <c:v>Nafta</c:v>
                </c:pt>
              </c:strCache>
            </c:strRef>
          </c:cat>
          <c:val>
            <c:numRef>
              <c:f>Dashboard!$H$41:$H$44</c:f>
              <c:numCache>
                <c:formatCode>General</c:formatCode>
                <c:ptCount val="3"/>
                <c:pt idx="0">
                  <c:v>8</c:v>
                </c:pt>
                <c:pt idx="1">
                  <c:v>16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56-436A-BB12-1BD96836D7E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[ProyectoParcial_Massironi.xlsx]Dashboard!TablaDinámica3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400" b="0" i="0" u="none" strike="noStrike" baseline="0"/>
              <a:t>Autos Sin / Con Financiación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Dashboard!$A$34:$A$36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Dashboard!$B$34:$B$36</c:f>
              <c:numCache>
                <c:formatCode>General</c:formatCode>
                <c:ptCount val="2"/>
                <c:pt idx="0">
                  <c:v>20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9E-49C6-9207-BE685AD64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0489487"/>
        <c:axId val="1340484687"/>
      </c:barChart>
      <c:catAx>
        <c:axId val="134048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40484687"/>
        <c:crosses val="autoZero"/>
        <c:auto val="1"/>
        <c:lblAlgn val="ctr"/>
        <c:lblOffset val="100"/>
        <c:noMultiLvlLbl val="0"/>
      </c:catAx>
      <c:valAx>
        <c:axId val="134048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4048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[ProyectoParcial_Massironi.xlsx]Dashboard!TablaDinámica5</c:name>
    <c:fmtId val="0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Dashboard!$H$12:$H$13</c:f>
              <c:strCache>
                <c:ptCount val="1"/>
                <c:pt idx="0">
                  <c:v>Excelente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Dashboard!$G$14:$G$19</c:f>
              <c:strCache>
                <c:ptCount val="5"/>
                <c:pt idx="0">
                  <c:v>Buenos Aires</c:v>
                </c:pt>
                <c:pt idx="1">
                  <c:v>Córdoba</c:v>
                </c:pt>
                <c:pt idx="2">
                  <c:v>Entre Ríos</c:v>
                </c:pt>
                <c:pt idx="3">
                  <c:v>Mendoza</c:v>
                </c:pt>
                <c:pt idx="4">
                  <c:v>Santa Fe</c:v>
                </c:pt>
              </c:strCache>
            </c:strRef>
          </c:cat>
          <c:val>
            <c:numRef>
              <c:f>Dashboard!$H$14:$H$19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DF-4456-8ADC-4696B460903D}"/>
            </c:ext>
          </c:extLst>
        </c:ser>
        <c:ser>
          <c:idx val="1"/>
          <c:order val="1"/>
          <c:tx>
            <c:strRef>
              <c:f>Dashboard!$I$12:$I$13</c:f>
              <c:strCache>
                <c:ptCount val="1"/>
                <c:pt idx="0">
                  <c:v>Seminuevo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Dashboard!$G$14:$G$19</c:f>
              <c:strCache>
                <c:ptCount val="5"/>
                <c:pt idx="0">
                  <c:v>Buenos Aires</c:v>
                </c:pt>
                <c:pt idx="1">
                  <c:v>Córdoba</c:v>
                </c:pt>
                <c:pt idx="2">
                  <c:v>Entre Ríos</c:v>
                </c:pt>
                <c:pt idx="3">
                  <c:v>Mendoza</c:v>
                </c:pt>
                <c:pt idx="4">
                  <c:v>Santa Fe</c:v>
                </c:pt>
              </c:strCache>
            </c:strRef>
          </c:cat>
          <c:val>
            <c:numRef>
              <c:f>Dashboard!$I$14:$I$19</c:f>
              <c:numCache>
                <c:formatCode>General</c:formatCode>
                <c:ptCount val="5"/>
                <c:pt idx="1">
                  <c:v>4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DF-4456-8ADC-4696B460903D}"/>
            </c:ext>
          </c:extLst>
        </c:ser>
        <c:ser>
          <c:idx val="2"/>
          <c:order val="2"/>
          <c:tx>
            <c:strRef>
              <c:f>Dashboard!$J$12:$J$13</c:f>
              <c:strCache>
                <c:ptCount val="1"/>
                <c:pt idx="0">
                  <c:v>Usado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Dashboard!$G$14:$G$19</c:f>
              <c:strCache>
                <c:ptCount val="5"/>
                <c:pt idx="0">
                  <c:v>Buenos Aires</c:v>
                </c:pt>
                <c:pt idx="1">
                  <c:v>Córdoba</c:v>
                </c:pt>
                <c:pt idx="2">
                  <c:v>Entre Ríos</c:v>
                </c:pt>
                <c:pt idx="3">
                  <c:v>Mendoza</c:v>
                </c:pt>
                <c:pt idx="4">
                  <c:v>Santa Fe</c:v>
                </c:pt>
              </c:strCache>
            </c:strRef>
          </c:cat>
          <c:val>
            <c:numRef>
              <c:f>Dashboard!$J$14:$J$19</c:f>
              <c:numCache>
                <c:formatCode>General</c:formatCode>
                <c:ptCount val="5"/>
                <c:pt idx="0">
                  <c:v>2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6DF-4456-8ADC-4696B4609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0489967"/>
        <c:axId val="1340486607"/>
      </c:barChart>
      <c:catAx>
        <c:axId val="134048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40486607"/>
        <c:crosses val="autoZero"/>
        <c:auto val="1"/>
        <c:lblAlgn val="ctr"/>
        <c:lblOffset val="100"/>
        <c:noMultiLvlLbl val="0"/>
      </c:catAx>
      <c:valAx>
        <c:axId val="134048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4048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112059</xdr:rowOff>
    </xdr:from>
    <xdr:to>
      <xdr:col>4</xdr:col>
      <xdr:colOff>74705</xdr:colOff>
      <xdr:row>27</xdr:row>
      <xdr:rowOff>95375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B08CBD6-43F2-E396-ADAF-A8B37A20F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174314</xdr:colOff>
      <xdr:row>27</xdr:row>
      <xdr:rowOff>124508</xdr:rowOff>
    </xdr:from>
    <xdr:to>
      <xdr:col>11</xdr:col>
      <xdr:colOff>124509</xdr:colOff>
      <xdr:row>48</xdr:row>
      <xdr:rowOff>124508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29F38A7-8AE2-530D-F257-A725BB283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153644</xdr:rowOff>
    </xdr:from>
    <xdr:to>
      <xdr:col>4</xdr:col>
      <xdr:colOff>62255</xdr:colOff>
      <xdr:row>48</xdr:row>
      <xdr:rowOff>62254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7EE61A0-E3DD-796E-3ADF-BA559197FD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266448</xdr:colOff>
      <xdr:row>6</xdr:row>
      <xdr:rowOff>116293</xdr:rowOff>
    </xdr:from>
    <xdr:to>
      <xdr:col>11</xdr:col>
      <xdr:colOff>448235</xdr:colOff>
      <xdr:row>26</xdr:row>
      <xdr:rowOff>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5EB9E95-714B-4CEA-5E9E-31CB336A4D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664135</xdr:colOff>
      <xdr:row>9</xdr:row>
      <xdr:rowOff>161863</xdr:rowOff>
    </xdr:from>
    <xdr:to>
      <xdr:col>13</xdr:col>
      <xdr:colOff>697254</xdr:colOff>
      <xdr:row>18</xdr:row>
      <xdr:rowOff>24901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Estado">
              <a:extLst>
                <a:ext uri="{FF2B5EF4-FFF2-40B4-BE49-F238E27FC236}">
                  <a16:creationId xmlns:a16="http://schemas.microsoft.com/office/drawing/2014/main" id="{465FB440-370C-9D03-655A-AE105483F9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36880" y="1892549"/>
              <a:ext cx="2485962" cy="15439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Lujan Massironi" refreshedDate="45952.89721412037" createdVersion="8" refreshedVersion="8" minRefreshableVersion="3" recordCount="40" xr:uid="{44EF7289-BCBF-444E-B7E9-DEFBB5C57792}">
  <cacheSource type="worksheet">
    <worksheetSource ref="A1:R41" sheet="Data_autos"/>
  </cacheSource>
  <cacheFields count="18">
    <cacheField name="ID_Auto" numFmtId="0">
      <sharedItems containsSemiMixedTypes="0" containsString="0" containsNumber="1" containsInteger="1" minValue="1" maxValue="40"/>
    </cacheField>
    <cacheField name="Marca" numFmtId="0">
      <sharedItems count="9">
        <s v="Citroën"/>
        <s v="Renault"/>
        <s v="Ford"/>
        <s v="Peugeot"/>
        <s v="Honda"/>
        <s v="Fiat"/>
        <s v="Toyota"/>
        <s v="Volkswagen"/>
        <s v="Chevrolet"/>
      </sharedItems>
    </cacheField>
    <cacheField name="Modelo" numFmtId="49">
      <sharedItems/>
    </cacheField>
    <cacheField name="Año" numFmtId="0">
      <sharedItems containsSemiMixedTypes="0" containsString="0" containsNumber="1" containsInteger="1" minValue="2015" maxValue="2023"/>
    </cacheField>
    <cacheField name="Kilometraje" numFmtId="1">
      <sharedItems containsSemiMixedTypes="0" containsString="0" containsNumber="1" containsInteger="1" minValue="23581" maxValue="141731"/>
    </cacheField>
    <cacheField name="Precio_ARS" numFmtId="164">
      <sharedItems containsSemiMixedTypes="0" containsString="0" containsNumber="1" containsInteger="1" minValue="4392397" maxValue="23237584"/>
    </cacheField>
    <cacheField name="Tipo_Combustible" numFmtId="0">
      <sharedItems count="3">
        <s v="Híbrido"/>
        <s v="Nafta"/>
        <s v="Diésel"/>
      </sharedItems>
    </cacheField>
    <cacheField name="Transmisión" numFmtId="0">
      <sharedItems/>
    </cacheField>
    <cacheField name="Color" numFmtId="0">
      <sharedItems/>
    </cacheField>
    <cacheField name="Puertas" numFmtId="0">
      <sharedItems containsSemiMixedTypes="0" containsString="0" containsNumber="1" containsInteger="1" minValue="3" maxValue="5"/>
    </cacheField>
    <cacheField name="Carrocería" numFmtId="0">
      <sharedItems/>
    </cacheField>
    <cacheField name="Provincia" numFmtId="0">
      <sharedItems count="5">
        <s v="Mendoza"/>
        <s v="Santa Fe"/>
        <s v="Córdoba"/>
        <s v="Entre Ríos"/>
        <s v="Buenos Aires"/>
      </sharedItems>
    </cacheField>
    <cacheField name="Fecha_Publicación" numFmtId="165">
      <sharedItems/>
    </cacheField>
    <cacheField name="Estado" numFmtId="0">
      <sharedItems count="3">
        <s v="Seminuevo"/>
        <s v="Excelente"/>
        <s v="Usado"/>
      </sharedItems>
    </cacheField>
    <cacheField name="Origen" numFmtId="0">
      <sharedItems/>
    </cacheField>
    <cacheField name="Financiación" numFmtId="0">
      <sharedItems count="2">
        <s v="No"/>
        <s v="Sí"/>
      </sharedItems>
    </cacheField>
    <cacheField name="Precio_Nivel" numFmtId="0">
      <sharedItems/>
    </cacheField>
    <cacheField name="Es_Nacional" numFmtId="0">
      <sharedItems/>
    </cacheField>
  </cacheFields>
  <extLst>
    <ext xmlns:x14="http://schemas.microsoft.com/office/spreadsheetml/2009/9/main" uri="{725AE2AE-9491-48be-B2B4-4EB974FC3084}">
      <x14:pivotCacheDefinition pivotCacheId="5987063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"/>
    <x v="0"/>
    <s v="Berlingo"/>
    <n v="2018"/>
    <n v="140300"/>
    <n v="4392397"/>
    <x v="0"/>
    <s v="Automática"/>
    <s v="Rojo"/>
    <n v="3"/>
    <s v="Sedán"/>
    <x v="0"/>
    <s v="2023-08-04"/>
    <x v="0"/>
    <s v="Importado"/>
    <x v="0"/>
    <s v="Media"/>
    <s v="No"/>
  </r>
  <r>
    <n v="2"/>
    <x v="1"/>
    <s v="Kwid"/>
    <n v="2016"/>
    <n v="44429"/>
    <n v="15550583"/>
    <x v="1"/>
    <s v="Automática"/>
    <s v="Plateado"/>
    <n v="5"/>
    <s v="Sedán"/>
    <x v="1"/>
    <s v="2025-03-02"/>
    <x v="0"/>
    <s v="Importado"/>
    <x v="1"/>
    <s v="Media"/>
    <s v="No"/>
  </r>
  <r>
    <n v="3"/>
    <x v="2"/>
    <s v="Fiesta"/>
    <n v="2020"/>
    <n v="118020"/>
    <n v="18134749"/>
    <x v="1"/>
    <s v="Automática"/>
    <s v="Azul"/>
    <n v="3"/>
    <s v="SUV"/>
    <x v="2"/>
    <s v="2023-11-26"/>
    <x v="1"/>
    <s v="Nacional"/>
    <x v="0"/>
    <s v="Media"/>
    <s v="Sí"/>
  </r>
  <r>
    <n v="4"/>
    <x v="3"/>
    <s v="208"/>
    <n v="2017"/>
    <n v="28856"/>
    <n v="21316848"/>
    <x v="0"/>
    <s v="Automática"/>
    <s v="Gris"/>
    <n v="5"/>
    <s v="Pickup"/>
    <x v="3"/>
    <s v="2024-03-23"/>
    <x v="1"/>
    <s v="Importado"/>
    <x v="0"/>
    <s v="Alta"/>
    <s v="No"/>
  </r>
  <r>
    <n v="5"/>
    <x v="4"/>
    <s v="Fit"/>
    <n v="2017"/>
    <n v="137684"/>
    <n v="22243508"/>
    <x v="1"/>
    <s v="Manual"/>
    <s v="Rojo"/>
    <n v="4"/>
    <s v="Pickup"/>
    <x v="1"/>
    <s v="2025-10-05"/>
    <x v="0"/>
    <s v="Nacional"/>
    <x v="1"/>
    <s v="Alta"/>
    <s v="Sí"/>
  </r>
  <r>
    <n v="6"/>
    <x v="3"/>
    <s v="2008"/>
    <n v="2022"/>
    <n v="25965"/>
    <n v="7701714"/>
    <x v="0"/>
    <s v="Manual"/>
    <s v="Gris"/>
    <n v="3"/>
    <s v="SUV"/>
    <x v="1"/>
    <s v="2023-10-16"/>
    <x v="1"/>
    <s v="Nacional"/>
    <x v="0"/>
    <s v="Media"/>
    <s v="Sí"/>
  </r>
  <r>
    <n v="7"/>
    <x v="5"/>
    <s v="Argo"/>
    <n v="2017"/>
    <n v="44801"/>
    <n v="13727866"/>
    <x v="0"/>
    <s v="Automática"/>
    <s v="Plateado"/>
    <n v="5"/>
    <s v="SUV"/>
    <x v="1"/>
    <s v="2023-10-07"/>
    <x v="2"/>
    <s v="Nacional"/>
    <x v="1"/>
    <s v="Media"/>
    <s v="Sí"/>
  </r>
  <r>
    <n v="8"/>
    <x v="3"/>
    <s v="208"/>
    <n v="2015"/>
    <n v="125599"/>
    <n v="19200946"/>
    <x v="2"/>
    <s v="Manual"/>
    <s v="Azul"/>
    <n v="3"/>
    <s v="Hatchback"/>
    <x v="3"/>
    <s v="2023-09-19"/>
    <x v="1"/>
    <s v="Importado"/>
    <x v="1"/>
    <s v="Media"/>
    <s v="No"/>
  </r>
  <r>
    <n v="9"/>
    <x v="2"/>
    <s v="Ranger"/>
    <n v="2021"/>
    <n v="70467"/>
    <n v="21908286"/>
    <x v="1"/>
    <s v="Manual"/>
    <s v="Blanco"/>
    <n v="3"/>
    <s v="Sedán"/>
    <x v="0"/>
    <s v="2024-01-04"/>
    <x v="2"/>
    <s v="Nacional"/>
    <x v="0"/>
    <s v="Alta"/>
    <s v="Sí"/>
  </r>
  <r>
    <n v="10"/>
    <x v="6"/>
    <s v="Yaris"/>
    <n v="2017"/>
    <n v="52055"/>
    <n v="23237584"/>
    <x v="0"/>
    <s v="Manual"/>
    <s v="Plateado"/>
    <n v="5"/>
    <s v="Pickup"/>
    <x v="2"/>
    <s v="2023-10-18"/>
    <x v="0"/>
    <s v="Nacional"/>
    <x v="0"/>
    <s v="Alta"/>
    <s v="Sí"/>
  </r>
  <r>
    <n v="11"/>
    <x v="4"/>
    <s v="Civic"/>
    <n v="2023"/>
    <n v="82137"/>
    <n v="23025850"/>
    <x v="2"/>
    <s v="Manual"/>
    <s v="Azul"/>
    <n v="3"/>
    <s v="Sedán"/>
    <x v="3"/>
    <s v="2025-08-22"/>
    <x v="2"/>
    <s v="Nacional"/>
    <x v="1"/>
    <s v="Alta"/>
    <s v="Sí"/>
  </r>
  <r>
    <n v="12"/>
    <x v="5"/>
    <s v="Toro"/>
    <n v="2015"/>
    <n v="77417"/>
    <n v="20319193"/>
    <x v="2"/>
    <s v="Automática"/>
    <s v="Plateado"/>
    <n v="3"/>
    <s v="Pickup"/>
    <x v="1"/>
    <s v="2023-11-11"/>
    <x v="2"/>
    <s v="Nacional"/>
    <x v="1"/>
    <s v="Alta"/>
    <s v="Sí"/>
  </r>
  <r>
    <n v="13"/>
    <x v="7"/>
    <s v="Amarok"/>
    <n v="2023"/>
    <n v="28861"/>
    <n v="4532832"/>
    <x v="1"/>
    <s v="Manual"/>
    <s v="Plateado"/>
    <n v="5"/>
    <s v="SUV"/>
    <x v="1"/>
    <s v="2023-03-11"/>
    <x v="0"/>
    <s v="Nacional"/>
    <x v="0"/>
    <s v="Media"/>
    <s v="Sí"/>
  </r>
  <r>
    <n v="14"/>
    <x v="4"/>
    <s v="HR-V"/>
    <n v="2022"/>
    <n v="27118"/>
    <n v="8258517"/>
    <x v="1"/>
    <s v="Automática"/>
    <s v="Azul"/>
    <n v="4"/>
    <s v="SUV"/>
    <x v="0"/>
    <s v="2023-06-09"/>
    <x v="2"/>
    <s v="Importado"/>
    <x v="1"/>
    <s v="Media"/>
    <s v="No"/>
  </r>
  <r>
    <n v="15"/>
    <x v="1"/>
    <s v="Sandero"/>
    <n v="2019"/>
    <n v="23581"/>
    <n v="18526043"/>
    <x v="1"/>
    <s v="Manual"/>
    <s v="Plateado"/>
    <n v="5"/>
    <s v="SUV"/>
    <x v="2"/>
    <s v="2023-08-11"/>
    <x v="0"/>
    <s v="Nacional"/>
    <x v="1"/>
    <s v="Media"/>
    <s v="Sí"/>
  </r>
  <r>
    <n v="16"/>
    <x v="1"/>
    <s v="Kwid"/>
    <n v="2019"/>
    <n v="94325"/>
    <n v="21895688"/>
    <x v="0"/>
    <s v="Manual"/>
    <s v="Plateado"/>
    <n v="5"/>
    <s v="Pickup"/>
    <x v="0"/>
    <s v="2024-03-10"/>
    <x v="1"/>
    <s v="Nacional"/>
    <x v="0"/>
    <s v="Alta"/>
    <s v="Sí"/>
  </r>
  <r>
    <n v="17"/>
    <x v="8"/>
    <s v="Cruze"/>
    <n v="2017"/>
    <n v="137001"/>
    <n v="10016668"/>
    <x v="2"/>
    <s v="Manual"/>
    <s v="Blanco"/>
    <n v="4"/>
    <s v="SUV"/>
    <x v="4"/>
    <s v="2024-10-05"/>
    <x v="2"/>
    <s v="Importado"/>
    <x v="1"/>
    <s v="Media"/>
    <s v="No"/>
  </r>
  <r>
    <n v="18"/>
    <x v="3"/>
    <s v="2008"/>
    <n v="2015"/>
    <n v="104744"/>
    <n v="21377222"/>
    <x v="0"/>
    <s v="Automática"/>
    <s v="Plateado"/>
    <n v="3"/>
    <s v="Sedán"/>
    <x v="0"/>
    <s v="2023-08-16"/>
    <x v="0"/>
    <s v="Importado"/>
    <x v="0"/>
    <s v="Alta"/>
    <s v="No"/>
  </r>
  <r>
    <n v="19"/>
    <x v="2"/>
    <s v="Focus"/>
    <n v="2022"/>
    <n v="91450"/>
    <n v="8057917"/>
    <x v="0"/>
    <s v="Automática"/>
    <s v="Rojo"/>
    <n v="3"/>
    <s v="Sedán"/>
    <x v="0"/>
    <s v="2025-05-20"/>
    <x v="2"/>
    <s v="Nacional"/>
    <x v="1"/>
    <s v="Media"/>
    <s v="Sí"/>
  </r>
  <r>
    <n v="20"/>
    <x v="7"/>
    <s v="Amarok"/>
    <n v="2019"/>
    <n v="141731"/>
    <n v="18938963"/>
    <x v="1"/>
    <s v="Manual"/>
    <s v="Blanco"/>
    <n v="3"/>
    <s v="Sedán"/>
    <x v="4"/>
    <s v="2024-05-05"/>
    <x v="1"/>
    <s v="Nacional"/>
    <x v="0"/>
    <s v="Media"/>
    <s v="Sí"/>
  </r>
  <r>
    <n v="21"/>
    <x v="0"/>
    <s v="Berlingo"/>
    <n v="2018"/>
    <n v="140300"/>
    <n v="4392397"/>
    <x v="0"/>
    <s v="Automática"/>
    <s v="Rojo"/>
    <n v="3"/>
    <s v="Sedán"/>
    <x v="0"/>
    <s v="2023-08-04"/>
    <x v="0"/>
    <s v="Importado"/>
    <x v="0"/>
    <s v="Media"/>
    <s v="No"/>
  </r>
  <r>
    <n v="22"/>
    <x v="1"/>
    <s v="Kwid"/>
    <n v="2016"/>
    <n v="44429"/>
    <n v="15550583"/>
    <x v="1"/>
    <s v="Automática"/>
    <s v="Plateado"/>
    <n v="5"/>
    <s v="Sedán"/>
    <x v="1"/>
    <s v="2025-03-02"/>
    <x v="0"/>
    <s v="Importado"/>
    <x v="1"/>
    <s v="Media"/>
    <s v="No"/>
  </r>
  <r>
    <n v="23"/>
    <x v="2"/>
    <s v="Fiesta"/>
    <n v="2020"/>
    <n v="118020"/>
    <n v="18134749"/>
    <x v="1"/>
    <s v="Automática"/>
    <s v="Azul"/>
    <n v="3"/>
    <s v="SUV"/>
    <x v="2"/>
    <s v="2023-11-26"/>
    <x v="1"/>
    <s v="Nacional"/>
    <x v="0"/>
    <s v="Media"/>
    <s v="Sí"/>
  </r>
  <r>
    <n v="24"/>
    <x v="3"/>
    <s v="208"/>
    <n v="2017"/>
    <n v="28856"/>
    <n v="21316848"/>
    <x v="0"/>
    <s v="Automática"/>
    <s v="Gris"/>
    <n v="5"/>
    <s v="Pickup"/>
    <x v="3"/>
    <s v="2024-03-23"/>
    <x v="1"/>
    <s v="Importado"/>
    <x v="0"/>
    <s v="Alta"/>
    <s v="No"/>
  </r>
  <r>
    <n v="25"/>
    <x v="4"/>
    <s v="Fit"/>
    <n v="2017"/>
    <n v="137684"/>
    <n v="22243508"/>
    <x v="1"/>
    <s v="Manual"/>
    <s v="Rojo"/>
    <n v="4"/>
    <s v="Pickup"/>
    <x v="1"/>
    <s v="2025-10-05"/>
    <x v="0"/>
    <s v="Nacional"/>
    <x v="1"/>
    <s v="Alta"/>
    <s v="Sí"/>
  </r>
  <r>
    <n v="26"/>
    <x v="3"/>
    <s v="2008"/>
    <n v="2022"/>
    <n v="25965"/>
    <n v="7701714"/>
    <x v="0"/>
    <s v="Manual"/>
    <s v="Gris"/>
    <n v="3"/>
    <s v="SUV"/>
    <x v="1"/>
    <s v="2023-10-16"/>
    <x v="1"/>
    <s v="Nacional"/>
    <x v="0"/>
    <s v="Media"/>
    <s v="Sí"/>
  </r>
  <r>
    <n v="27"/>
    <x v="5"/>
    <s v="Argo"/>
    <n v="2017"/>
    <n v="44801"/>
    <n v="13727866"/>
    <x v="0"/>
    <s v="Automática"/>
    <s v="Plateado"/>
    <n v="5"/>
    <s v="SUV"/>
    <x v="1"/>
    <s v="2023-10-07"/>
    <x v="2"/>
    <s v="Nacional"/>
    <x v="1"/>
    <s v="Media"/>
    <s v="Sí"/>
  </r>
  <r>
    <n v="28"/>
    <x v="3"/>
    <s v="208"/>
    <n v="2015"/>
    <n v="125599"/>
    <n v="19200946"/>
    <x v="2"/>
    <s v="Manual"/>
    <s v="Azul"/>
    <n v="3"/>
    <s v="Hatchback"/>
    <x v="3"/>
    <s v="2023-09-19"/>
    <x v="1"/>
    <s v="Importado"/>
    <x v="1"/>
    <s v="Media"/>
    <s v="No"/>
  </r>
  <r>
    <n v="29"/>
    <x v="2"/>
    <s v="Ranger"/>
    <n v="2021"/>
    <n v="70467"/>
    <n v="21908286"/>
    <x v="1"/>
    <s v="Manual"/>
    <s v="Blanco"/>
    <n v="3"/>
    <s v="Sedán"/>
    <x v="0"/>
    <s v="2024-01-04"/>
    <x v="2"/>
    <s v="Nacional"/>
    <x v="0"/>
    <s v="Alta"/>
    <s v="Sí"/>
  </r>
  <r>
    <n v="30"/>
    <x v="6"/>
    <s v="Yaris"/>
    <n v="2017"/>
    <n v="52055"/>
    <n v="23237584"/>
    <x v="0"/>
    <s v="Manual"/>
    <s v="Plateado"/>
    <n v="5"/>
    <s v="Pickup"/>
    <x v="2"/>
    <s v="2023-10-18"/>
    <x v="0"/>
    <s v="Nacional"/>
    <x v="0"/>
    <s v="Alta"/>
    <s v="Sí"/>
  </r>
  <r>
    <n v="31"/>
    <x v="4"/>
    <s v="Civic"/>
    <n v="2023"/>
    <n v="82137"/>
    <n v="23025850"/>
    <x v="2"/>
    <s v="Manual"/>
    <s v="Azul"/>
    <n v="3"/>
    <s v="Sedán"/>
    <x v="3"/>
    <s v="2025-08-22"/>
    <x v="2"/>
    <s v="Nacional"/>
    <x v="1"/>
    <s v="Alta"/>
    <s v="Sí"/>
  </r>
  <r>
    <n v="32"/>
    <x v="5"/>
    <s v="Toro"/>
    <n v="2015"/>
    <n v="77417"/>
    <n v="20319193"/>
    <x v="2"/>
    <s v="Automática"/>
    <s v="Plateado"/>
    <n v="3"/>
    <s v="Pickup"/>
    <x v="1"/>
    <s v="2023-11-11"/>
    <x v="2"/>
    <s v="Nacional"/>
    <x v="1"/>
    <s v="Alta"/>
    <s v="Sí"/>
  </r>
  <r>
    <n v="33"/>
    <x v="7"/>
    <s v="Amarok"/>
    <n v="2023"/>
    <n v="28861"/>
    <n v="4532832"/>
    <x v="1"/>
    <s v="Manual"/>
    <s v="Plateado"/>
    <n v="5"/>
    <s v="SUV"/>
    <x v="1"/>
    <s v="2023-03-11"/>
    <x v="0"/>
    <s v="Nacional"/>
    <x v="0"/>
    <s v="Media"/>
    <s v="Sí"/>
  </r>
  <r>
    <n v="34"/>
    <x v="4"/>
    <s v="HR-V"/>
    <n v="2022"/>
    <n v="27118"/>
    <n v="8258517"/>
    <x v="1"/>
    <s v="Automática"/>
    <s v="Azul"/>
    <n v="4"/>
    <s v="SUV"/>
    <x v="0"/>
    <s v="2023-06-09"/>
    <x v="2"/>
    <s v="Importado"/>
    <x v="1"/>
    <s v="Media"/>
    <s v="No"/>
  </r>
  <r>
    <n v="35"/>
    <x v="1"/>
    <s v="Sandero"/>
    <n v="2019"/>
    <n v="23581"/>
    <n v="18526043"/>
    <x v="1"/>
    <s v="Manual"/>
    <s v="Plateado"/>
    <n v="5"/>
    <s v="SUV"/>
    <x v="2"/>
    <s v="2023-08-11"/>
    <x v="0"/>
    <s v="Nacional"/>
    <x v="1"/>
    <s v="Media"/>
    <s v="Sí"/>
  </r>
  <r>
    <n v="36"/>
    <x v="1"/>
    <s v="Kwid"/>
    <n v="2019"/>
    <n v="94325"/>
    <n v="21895688"/>
    <x v="0"/>
    <s v="Manual"/>
    <s v="Plateado"/>
    <n v="5"/>
    <s v="Pickup"/>
    <x v="0"/>
    <s v="2024-03-10"/>
    <x v="1"/>
    <s v="Nacional"/>
    <x v="0"/>
    <s v="Alta"/>
    <s v="Sí"/>
  </r>
  <r>
    <n v="37"/>
    <x v="8"/>
    <s v="Cruze"/>
    <n v="2017"/>
    <n v="137001"/>
    <n v="10016668"/>
    <x v="2"/>
    <s v="Manual"/>
    <s v="Blanco"/>
    <n v="4"/>
    <s v="SUV"/>
    <x v="4"/>
    <s v="2024-10-05"/>
    <x v="2"/>
    <s v="Importado"/>
    <x v="1"/>
    <s v="Media"/>
    <s v="No"/>
  </r>
  <r>
    <n v="38"/>
    <x v="3"/>
    <s v="2008"/>
    <n v="2015"/>
    <n v="104744"/>
    <n v="21377222"/>
    <x v="0"/>
    <s v="Automática"/>
    <s v="Plateado"/>
    <n v="3"/>
    <s v="Sedán"/>
    <x v="0"/>
    <s v="2023-08-16"/>
    <x v="0"/>
    <s v="Importado"/>
    <x v="0"/>
    <s v="Alta"/>
    <s v="No"/>
  </r>
  <r>
    <n v="39"/>
    <x v="2"/>
    <s v="Focus"/>
    <n v="2022"/>
    <n v="91450"/>
    <n v="8057917"/>
    <x v="0"/>
    <s v="Automática"/>
    <s v="Rojo"/>
    <n v="3"/>
    <s v="Sedán"/>
    <x v="0"/>
    <s v="2025-05-20"/>
    <x v="2"/>
    <s v="Nacional"/>
    <x v="1"/>
    <s v="Media"/>
    <s v="Sí"/>
  </r>
  <r>
    <n v="40"/>
    <x v="7"/>
    <s v="Amarok"/>
    <n v="2019"/>
    <n v="141731"/>
    <n v="18938963"/>
    <x v="1"/>
    <s v="Manual"/>
    <s v="Blanco"/>
    <n v="3"/>
    <s v="Sedán"/>
    <x v="4"/>
    <s v="2024-05-05"/>
    <x v="1"/>
    <s v="Nacional"/>
    <x v="0"/>
    <s v="Media"/>
    <s v="Sí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913C14-37D4-42D2-AACC-92A978767783}" name="TablaDinámica5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G12:K19" firstHeaderRow="1" firstDataRow="2" firstDataCol="1"/>
  <pivotFields count="18">
    <pivotField dataField="1" showAll="0"/>
    <pivotField showAll="0"/>
    <pivotField showAll="0"/>
    <pivotField showAll="0"/>
    <pivotField numFmtId="1" showAll="0"/>
    <pivotField numFmtId="164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uenta de ID_Auto" fld="0" subtotal="countNums" baseField="0" baseItem="0"/>
  </dataFields>
  <chartFormats count="5">
    <chartFormat chart="0" format="3" series="1">
      <pivotArea type="data" outline="0" fieldPosition="0">
        <references count="1">
          <reference field="13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13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13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42B519-1A62-466A-BD97-B57370C88EE9}" name="TablaDinámica3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3:B36" firstHeaderRow="1" firstDataRow="1" firstDataCol="1"/>
  <pivotFields count="18">
    <pivotField dataField="1" showAll="0"/>
    <pivotField showAll="0"/>
    <pivotField showAll="0"/>
    <pivotField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Cuenta de ID_Auto" fld="0" subtotal="countNums" baseField="1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D62DCF-6292-4177-ADAB-D4EE542FBAF7}" name="TablaDinámica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G40:H44" firstHeaderRow="1" firstDataRow="1" firstDataCol="1"/>
  <pivotFields count="18">
    <pivotField dataField="1" showAll="0"/>
    <pivotField showAll="0"/>
    <pivotField showAll="0"/>
    <pivotField showAll="0"/>
    <pivotField numFmtId="1" showAll="0"/>
    <pivotField numFmtId="164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ID_Auto" fld="0" subtotal="countNums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374FE7-EB66-430B-BECA-3C668D4C6ACA}" name="TablaDiná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17:B27" firstHeaderRow="1" firstDataRow="1" firstDataCol="1"/>
  <pivotFields count="18">
    <pivotField dataField="1" showAll="0"/>
    <pivotField axis="axisRow" showAll="0">
      <items count="10">
        <item x="8"/>
        <item x="0"/>
        <item x="5"/>
        <item x="2"/>
        <item x="4"/>
        <item x="3"/>
        <item x="1"/>
        <item x="6"/>
        <item x="7"/>
        <item t="default"/>
      </items>
    </pivotField>
    <pivotField showAll="0"/>
    <pivotField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uenta de ID_Auto" fld="0" subtotal="countNums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" xr10:uid="{860E8C61-3FE6-4331-B170-187A3A2D0699}" sourceName="Estado">
  <pivotTables>
    <pivotTable tabId="4" name="TablaDinámica5"/>
  </pivotTables>
  <data>
    <tabular pivotCacheId="598706312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tado" xr10:uid="{4DE44C38-C0D7-44F1-90A8-5CD794B4F821}" cache="SegmentaciónDeDatos_Estado" caption="Estado" rowHeight="24130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B16" sqref="B16"/>
    </sheetView>
  </sheetViews>
  <sheetFormatPr baseColWidth="10" defaultColWidth="8.7265625" defaultRowHeight="14.5" x14ac:dyDescent="0.35"/>
  <cols>
    <col min="1" max="1" width="28.26953125" customWidth="1"/>
    <col min="2" max="2" width="67.453125" style="3" customWidth="1"/>
    <col min="3" max="3" width="8.726562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t="s">
        <v>2</v>
      </c>
      <c r="B2" s="3" t="s">
        <v>3</v>
      </c>
    </row>
    <row r="3" spans="1:2" ht="43.5" customHeight="1" x14ac:dyDescent="0.35">
      <c r="A3" t="s">
        <v>1</v>
      </c>
      <c r="B3" s="3" t="s">
        <v>4</v>
      </c>
    </row>
    <row r="4" spans="1:2" x14ac:dyDescent="0.35">
      <c r="A4" t="s">
        <v>5</v>
      </c>
      <c r="B4" s="3" t="s">
        <v>6</v>
      </c>
    </row>
    <row r="5" spans="1:2" x14ac:dyDescent="0.35">
      <c r="A5" t="s">
        <v>7</v>
      </c>
      <c r="B5" s="3" t="s">
        <v>8</v>
      </c>
    </row>
    <row r="6" spans="1:2" ht="29" customHeight="1" x14ac:dyDescent="0.35">
      <c r="A6" t="s">
        <v>9</v>
      </c>
      <c r="B6" s="3" t="s">
        <v>10</v>
      </c>
    </row>
    <row r="7" spans="1:2" x14ac:dyDescent="0.35">
      <c r="A7" t="s">
        <v>11</v>
      </c>
      <c r="B7" s="3" t="s">
        <v>12</v>
      </c>
    </row>
    <row r="8" spans="1:2" x14ac:dyDescent="0.35">
      <c r="A8" t="s">
        <v>13</v>
      </c>
      <c r="B8" s="3" t="s">
        <v>14</v>
      </c>
    </row>
    <row r="10" spans="1:2" ht="15" customHeight="1" x14ac:dyDescent="0.35"/>
    <row r="11" spans="1:2" ht="16.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2"/>
  <sheetViews>
    <sheetView zoomScale="46" workbookViewId="0">
      <selection activeCell="R14" sqref="R14"/>
    </sheetView>
  </sheetViews>
  <sheetFormatPr baseColWidth="10" defaultColWidth="8.7265625" defaultRowHeight="14.5" x14ac:dyDescent="0.35"/>
  <cols>
    <col min="1" max="1" width="8.54296875" bestFit="1" customWidth="1"/>
    <col min="2" max="2" width="12.36328125" customWidth="1"/>
    <col min="3" max="3" width="9.1796875" style="9" bestFit="1" customWidth="1"/>
    <col min="4" max="4" width="6" bestFit="1" customWidth="1"/>
    <col min="5" max="5" width="11.36328125" style="11" bestFit="1" customWidth="1"/>
    <col min="6" max="6" width="12.54296875" style="5" bestFit="1" customWidth="1"/>
    <col min="7" max="7" width="17.6328125" customWidth="1"/>
    <col min="8" max="8" width="12.1796875" bestFit="1" customWidth="1"/>
    <col min="9" max="9" width="9.54296875" bestFit="1" customWidth="1"/>
    <col min="10" max="10" width="8.36328125" bestFit="1" customWidth="1"/>
    <col min="11" max="11" width="11.36328125" bestFit="1" customWidth="1"/>
    <col min="12" max="12" width="13.36328125" bestFit="1" customWidth="1"/>
    <col min="13" max="13" width="19.453125" style="7" bestFit="1" customWidth="1"/>
    <col min="14" max="14" width="11.54296875" bestFit="1" customWidth="1"/>
    <col min="15" max="15" width="10.36328125" bestFit="1" customWidth="1"/>
    <col min="16" max="16" width="11.08984375" bestFit="1" customWidth="1"/>
    <col min="17" max="17" width="11.26953125" customWidth="1"/>
    <col min="18" max="18" width="10.81640625" bestFit="1" customWidth="1"/>
  </cols>
  <sheetData>
    <row r="1" spans="1:18" x14ac:dyDescent="0.35">
      <c r="A1" s="33" t="s">
        <v>115</v>
      </c>
      <c r="B1" s="34"/>
      <c r="C1" s="35"/>
      <c r="D1" s="34"/>
      <c r="E1" s="36"/>
      <c r="F1" s="37"/>
      <c r="G1" s="34"/>
      <c r="H1" s="34"/>
      <c r="I1" s="34"/>
      <c r="J1" s="34"/>
      <c r="K1" s="34"/>
      <c r="L1" s="34"/>
      <c r="M1" s="38"/>
      <c r="N1" s="34"/>
      <c r="O1" s="34"/>
      <c r="P1" s="34"/>
      <c r="Q1" s="34"/>
      <c r="R1" s="34"/>
    </row>
    <row r="2" spans="1:18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8" x14ac:dyDescent="0.35">
      <c r="A3">
        <v>1</v>
      </c>
      <c r="B3" t="s">
        <v>33</v>
      </c>
      <c r="C3" t="s">
        <v>34</v>
      </c>
      <c r="D3">
        <v>2018</v>
      </c>
      <c r="E3">
        <v>140300</v>
      </c>
      <c r="F3">
        <v>4392397</v>
      </c>
      <c r="G3" t="s">
        <v>35</v>
      </c>
      <c r="H3" t="s">
        <v>36</v>
      </c>
      <c r="I3" t="s">
        <v>37</v>
      </c>
      <c r="J3">
        <v>3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</row>
    <row r="4" spans="1:18" x14ac:dyDescent="0.35">
      <c r="A4">
        <v>2</v>
      </c>
      <c r="B4" t="s">
        <v>44</v>
      </c>
      <c r="C4" t="s">
        <v>45</v>
      </c>
      <c r="D4">
        <v>2016</v>
      </c>
      <c r="E4">
        <v>44429</v>
      </c>
      <c r="F4">
        <v>15550583</v>
      </c>
      <c r="G4" t="s">
        <v>46</v>
      </c>
      <c r="H4" t="s">
        <v>36</v>
      </c>
      <c r="I4" t="s">
        <v>47</v>
      </c>
      <c r="J4">
        <v>5</v>
      </c>
      <c r="K4" t="s">
        <v>38</v>
      </c>
      <c r="L4" t="s">
        <v>48</v>
      </c>
      <c r="M4" t="s">
        <v>49</v>
      </c>
      <c r="N4" t="s">
        <v>41</v>
      </c>
      <c r="O4" t="s">
        <v>42</v>
      </c>
      <c r="P4" t="s">
        <v>50</v>
      </c>
    </row>
    <row r="5" spans="1:18" x14ac:dyDescent="0.35">
      <c r="A5">
        <v>3</v>
      </c>
      <c r="B5" t="s">
        <v>51</v>
      </c>
      <c r="C5" t="s">
        <v>52</v>
      </c>
      <c r="D5">
        <v>2020</v>
      </c>
      <c r="E5">
        <v>118020</v>
      </c>
      <c r="F5">
        <v>18134749</v>
      </c>
      <c r="G5" t="s">
        <v>46</v>
      </c>
      <c r="H5" t="s">
        <v>36</v>
      </c>
      <c r="I5" t="s">
        <v>53</v>
      </c>
      <c r="J5">
        <v>3</v>
      </c>
      <c r="K5" t="s">
        <v>54</v>
      </c>
      <c r="L5" t="s">
        <v>55</v>
      </c>
      <c r="M5" t="s">
        <v>56</v>
      </c>
      <c r="N5" t="s">
        <v>57</v>
      </c>
      <c r="O5" t="s">
        <v>58</v>
      </c>
      <c r="P5" t="s">
        <v>43</v>
      </c>
    </row>
    <row r="6" spans="1:18" x14ac:dyDescent="0.35">
      <c r="A6">
        <v>4</v>
      </c>
      <c r="B6" t="s">
        <v>59</v>
      </c>
      <c r="C6" t="s">
        <v>60</v>
      </c>
      <c r="D6">
        <v>2017</v>
      </c>
      <c r="E6">
        <v>28856</v>
      </c>
      <c r="F6">
        <v>21316848</v>
      </c>
      <c r="G6" t="s">
        <v>35</v>
      </c>
      <c r="H6" t="s">
        <v>36</v>
      </c>
      <c r="I6" t="s">
        <v>61</v>
      </c>
      <c r="J6">
        <v>5</v>
      </c>
      <c r="K6" t="s">
        <v>62</v>
      </c>
      <c r="L6" t="s">
        <v>63</v>
      </c>
      <c r="M6" t="s">
        <v>64</v>
      </c>
      <c r="N6" t="s">
        <v>57</v>
      </c>
      <c r="O6" t="s">
        <v>42</v>
      </c>
      <c r="P6" t="s">
        <v>43</v>
      </c>
    </row>
    <row r="7" spans="1:18" x14ac:dyDescent="0.35">
      <c r="A7">
        <v>5</v>
      </c>
      <c r="B7" t="s">
        <v>65</v>
      </c>
      <c r="C7" t="s">
        <v>66</v>
      </c>
      <c r="D7">
        <v>2017</v>
      </c>
      <c r="E7">
        <v>137684</v>
      </c>
      <c r="F7">
        <v>22243508</v>
      </c>
      <c r="G7" t="s">
        <v>46</v>
      </c>
      <c r="H7" t="s">
        <v>67</v>
      </c>
      <c r="I7" t="s">
        <v>37</v>
      </c>
      <c r="J7">
        <v>4</v>
      </c>
      <c r="K7" t="s">
        <v>62</v>
      </c>
      <c r="L7" t="s">
        <v>48</v>
      </c>
      <c r="M7" t="s">
        <v>68</v>
      </c>
      <c r="N7" t="s">
        <v>41</v>
      </c>
      <c r="O7" t="s">
        <v>58</v>
      </c>
      <c r="P7" t="s">
        <v>50</v>
      </c>
    </row>
    <row r="8" spans="1:18" x14ac:dyDescent="0.35">
      <c r="A8">
        <v>6</v>
      </c>
      <c r="B8" t="s">
        <v>59</v>
      </c>
      <c r="C8" t="s">
        <v>69</v>
      </c>
      <c r="D8">
        <v>2022</v>
      </c>
      <c r="E8">
        <v>25965</v>
      </c>
      <c r="F8">
        <v>7701714</v>
      </c>
      <c r="G8" t="s">
        <v>35</v>
      </c>
      <c r="H8" t="s">
        <v>67</v>
      </c>
      <c r="I8" t="s">
        <v>61</v>
      </c>
      <c r="J8">
        <v>3</v>
      </c>
      <c r="K8" t="s">
        <v>54</v>
      </c>
      <c r="L8" t="s">
        <v>48</v>
      </c>
      <c r="M8" t="s">
        <v>70</v>
      </c>
      <c r="N8" t="s">
        <v>57</v>
      </c>
      <c r="O8" t="s">
        <v>58</v>
      </c>
      <c r="P8" t="s">
        <v>43</v>
      </c>
    </row>
    <row r="9" spans="1:18" x14ac:dyDescent="0.35">
      <c r="A9">
        <v>7</v>
      </c>
      <c r="B9" t="s">
        <v>71</v>
      </c>
      <c r="C9" t="s">
        <v>72</v>
      </c>
      <c r="D9">
        <v>2017</v>
      </c>
      <c r="E9">
        <v>44801</v>
      </c>
      <c r="F9">
        <v>13727866</v>
      </c>
      <c r="G9" t="s">
        <v>35</v>
      </c>
      <c r="H9" t="s">
        <v>36</v>
      </c>
      <c r="I9" t="s">
        <v>47</v>
      </c>
      <c r="J9">
        <v>5</v>
      </c>
      <c r="K9" t="s">
        <v>54</v>
      </c>
      <c r="L9" t="s">
        <v>48</v>
      </c>
      <c r="M9" t="s">
        <v>73</v>
      </c>
      <c r="N9" t="s">
        <v>74</v>
      </c>
      <c r="O9" t="s">
        <v>58</v>
      </c>
      <c r="P9" t="s">
        <v>50</v>
      </c>
    </row>
    <row r="10" spans="1:18" x14ac:dyDescent="0.35">
      <c r="A10">
        <v>8</v>
      </c>
      <c r="B10" t="s">
        <v>59</v>
      </c>
      <c r="C10" t="s">
        <v>60</v>
      </c>
      <c r="D10">
        <v>2015</v>
      </c>
      <c r="E10">
        <v>125599</v>
      </c>
      <c r="F10">
        <v>19200946</v>
      </c>
      <c r="G10" t="s">
        <v>75</v>
      </c>
      <c r="H10" t="s">
        <v>67</v>
      </c>
      <c r="I10" t="s">
        <v>53</v>
      </c>
      <c r="J10">
        <v>3</v>
      </c>
      <c r="K10" t="s">
        <v>76</v>
      </c>
      <c r="L10" t="s">
        <v>63</v>
      </c>
      <c r="M10" t="s">
        <v>77</v>
      </c>
      <c r="N10" t="s">
        <v>57</v>
      </c>
      <c r="O10" t="s">
        <v>42</v>
      </c>
      <c r="P10" t="s">
        <v>50</v>
      </c>
    </row>
    <row r="11" spans="1:18" x14ac:dyDescent="0.35">
      <c r="A11">
        <v>9</v>
      </c>
      <c r="B11" t="s">
        <v>51</v>
      </c>
      <c r="C11" t="s">
        <v>78</v>
      </c>
      <c r="D11">
        <v>2021</v>
      </c>
      <c r="E11">
        <v>70467</v>
      </c>
      <c r="F11">
        <v>21908286</v>
      </c>
      <c r="G11" t="s">
        <v>46</v>
      </c>
      <c r="H11" t="s">
        <v>67</v>
      </c>
      <c r="I11" t="s">
        <v>79</v>
      </c>
      <c r="J11">
        <v>3</v>
      </c>
      <c r="K11" t="s">
        <v>38</v>
      </c>
      <c r="L11" t="s">
        <v>39</v>
      </c>
      <c r="M11" t="s">
        <v>80</v>
      </c>
      <c r="N11" t="s">
        <v>74</v>
      </c>
      <c r="O11" t="s">
        <v>58</v>
      </c>
      <c r="P11" t="s">
        <v>43</v>
      </c>
    </row>
    <row r="12" spans="1:18" x14ac:dyDescent="0.35">
      <c r="A12">
        <v>10</v>
      </c>
      <c r="B12" t="s">
        <v>81</v>
      </c>
      <c r="C12" t="s">
        <v>82</v>
      </c>
      <c r="D12">
        <v>2017</v>
      </c>
      <c r="E12">
        <v>52055</v>
      </c>
      <c r="F12">
        <v>23237584</v>
      </c>
      <c r="G12" t="s">
        <v>35</v>
      </c>
      <c r="H12" t="s">
        <v>67</v>
      </c>
      <c r="I12" t="s">
        <v>47</v>
      </c>
      <c r="J12">
        <v>5</v>
      </c>
      <c r="K12" t="s">
        <v>62</v>
      </c>
      <c r="L12" t="s">
        <v>55</v>
      </c>
      <c r="M12" t="s">
        <v>83</v>
      </c>
      <c r="N12" t="s">
        <v>41</v>
      </c>
      <c r="O12" t="s">
        <v>58</v>
      </c>
      <c r="P12" t="s">
        <v>43</v>
      </c>
    </row>
    <row r="13" spans="1:18" x14ac:dyDescent="0.35">
      <c r="A13">
        <v>11</v>
      </c>
      <c r="B13" t="s">
        <v>65</v>
      </c>
      <c r="C13" t="s">
        <v>84</v>
      </c>
      <c r="D13">
        <v>2023</v>
      </c>
      <c r="E13">
        <v>82137</v>
      </c>
      <c r="F13">
        <v>23025850</v>
      </c>
      <c r="G13" t="s">
        <v>75</v>
      </c>
      <c r="H13" t="s">
        <v>67</v>
      </c>
      <c r="I13" t="s">
        <v>53</v>
      </c>
      <c r="J13">
        <v>3</v>
      </c>
      <c r="K13" t="s">
        <v>38</v>
      </c>
      <c r="L13" t="s">
        <v>63</v>
      </c>
      <c r="M13" t="s">
        <v>85</v>
      </c>
      <c r="N13" t="s">
        <v>74</v>
      </c>
      <c r="O13" t="s">
        <v>58</v>
      </c>
      <c r="P13" t="s">
        <v>50</v>
      </c>
    </row>
    <row r="14" spans="1:18" x14ac:dyDescent="0.35">
      <c r="A14">
        <v>12</v>
      </c>
      <c r="B14" t="s">
        <v>71</v>
      </c>
      <c r="C14" t="s">
        <v>86</v>
      </c>
      <c r="D14">
        <v>2015</v>
      </c>
      <c r="E14">
        <v>77417</v>
      </c>
      <c r="F14">
        <v>20319193</v>
      </c>
      <c r="G14" t="s">
        <v>75</v>
      </c>
      <c r="H14" t="s">
        <v>36</v>
      </c>
      <c r="I14" t="s">
        <v>47</v>
      </c>
      <c r="J14">
        <v>3</v>
      </c>
      <c r="K14" t="s">
        <v>62</v>
      </c>
      <c r="L14" t="s">
        <v>48</v>
      </c>
      <c r="M14" t="s">
        <v>87</v>
      </c>
      <c r="N14" t="s">
        <v>74</v>
      </c>
      <c r="O14" t="s">
        <v>58</v>
      </c>
      <c r="P14" t="s">
        <v>50</v>
      </c>
    </row>
    <row r="15" spans="1:18" x14ac:dyDescent="0.35">
      <c r="A15">
        <v>13</v>
      </c>
      <c r="B15" t="s">
        <v>88</v>
      </c>
      <c r="C15" t="s">
        <v>89</v>
      </c>
      <c r="D15">
        <v>2023</v>
      </c>
      <c r="E15">
        <v>28861</v>
      </c>
      <c r="F15">
        <v>4532832</v>
      </c>
      <c r="G15" t="s">
        <v>46</v>
      </c>
      <c r="H15" t="s">
        <v>67</v>
      </c>
      <c r="I15" t="s">
        <v>47</v>
      </c>
      <c r="J15">
        <v>5</v>
      </c>
      <c r="K15" t="s">
        <v>54</v>
      </c>
      <c r="L15" t="s">
        <v>48</v>
      </c>
      <c r="M15" t="s">
        <v>90</v>
      </c>
      <c r="N15" t="s">
        <v>41</v>
      </c>
      <c r="O15" t="s">
        <v>58</v>
      </c>
      <c r="P15" t="s">
        <v>43</v>
      </c>
    </row>
    <row r="16" spans="1:18" x14ac:dyDescent="0.35">
      <c r="A16">
        <v>14</v>
      </c>
      <c r="B16" t="s">
        <v>65</v>
      </c>
      <c r="C16" t="s">
        <v>91</v>
      </c>
      <c r="D16">
        <v>2022</v>
      </c>
      <c r="E16">
        <v>27118</v>
      </c>
      <c r="F16">
        <v>8258517</v>
      </c>
      <c r="G16" t="s">
        <v>46</v>
      </c>
      <c r="H16" t="s">
        <v>36</v>
      </c>
      <c r="I16" t="s">
        <v>53</v>
      </c>
      <c r="J16">
        <v>4</v>
      </c>
      <c r="K16" t="s">
        <v>54</v>
      </c>
      <c r="L16" t="s">
        <v>39</v>
      </c>
      <c r="M16" t="s">
        <v>92</v>
      </c>
      <c r="N16" t="s">
        <v>74</v>
      </c>
      <c r="O16" t="s">
        <v>42</v>
      </c>
      <c r="P16" t="s">
        <v>50</v>
      </c>
    </row>
    <row r="17" spans="1:16" x14ac:dyDescent="0.35">
      <c r="A17">
        <v>15</v>
      </c>
      <c r="B17" t="s">
        <v>44</v>
      </c>
      <c r="C17" t="s">
        <v>93</v>
      </c>
      <c r="D17">
        <v>2019</v>
      </c>
      <c r="E17">
        <v>23581</v>
      </c>
      <c r="F17">
        <v>18526043</v>
      </c>
      <c r="G17" t="s">
        <v>46</v>
      </c>
      <c r="H17" t="s">
        <v>67</v>
      </c>
      <c r="I17" t="s">
        <v>47</v>
      </c>
      <c r="J17">
        <v>5</v>
      </c>
      <c r="K17" t="s">
        <v>54</v>
      </c>
      <c r="L17" t="s">
        <v>55</v>
      </c>
      <c r="M17" t="s">
        <v>94</v>
      </c>
      <c r="N17" t="s">
        <v>41</v>
      </c>
      <c r="O17" t="s">
        <v>58</v>
      </c>
      <c r="P17" t="s">
        <v>50</v>
      </c>
    </row>
    <row r="18" spans="1:16" x14ac:dyDescent="0.35">
      <c r="A18">
        <v>16</v>
      </c>
      <c r="B18" t="s">
        <v>44</v>
      </c>
      <c r="C18" t="s">
        <v>45</v>
      </c>
      <c r="D18">
        <v>2019</v>
      </c>
      <c r="E18">
        <v>94325</v>
      </c>
      <c r="F18">
        <v>21895688</v>
      </c>
      <c r="G18" t="s">
        <v>35</v>
      </c>
      <c r="H18" t="s">
        <v>67</v>
      </c>
      <c r="I18" t="s">
        <v>47</v>
      </c>
      <c r="J18">
        <v>5</v>
      </c>
      <c r="K18" t="s">
        <v>62</v>
      </c>
      <c r="L18" t="s">
        <v>39</v>
      </c>
      <c r="M18" t="s">
        <v>95</v>
      </c>
      <c r="N18" t="s">
        <v>57</v>
      </c>
      <c r="O18" t="s">
        <v>58</v>
      </c>
      <c r="P18" t="s">
        <v>43</v>
      </c>
    </row>
    <row r="19" spans="1:16" x14ac:dyDescent="0.35">
      <c r="A19">
        <v>17</v>
      </c>
      <c r="B19" t="s">
        <v>96</v>
      </c>
      <c r="C19" t="s">
        <v>97</v>
      </c>
      <c r="D19">
        <v>2017</v>
      </c>
      <c r="E19">
        <v>137001</v>
      </c>
      <c r="F19">
        <v>10016668</v>
      </c>
      <c r="G19" t="s">
        <v>75</v>
      </c>
      <c r="H19" t="s">
        <v>67</v>
      </c>
      <c r="I19" t="s">
        <v>79</v>
      </c>
      <c r="J19">
        <v>4</v>
      </c>
      <c r="K19" t="s">
        <v>54</v>
      </c>
      <c r="L19" t="s">
        <v>98</v>
      </c>
      <c r="M19" t="s">
        <v>99</v>
      </c>
      <c r="N19" t="s">
        <v>74</v>
      </c>
      <c r="O19" t="s">
        <v>42</v>
      </c>
      <c r="P19" t="s">
        <v>50</v>
      </c>
    </row>
    <row r="20" spans="1:16" x14ac:dyDescent="0.35">
      <c r="A20">
        <v>18</v>
      </c>
      <c r="B20" t="s">
        <v>59</v>
      </c>
      <c r="C20" t="s">
        <v>69</v>
      </c>
      <c r="D20">
        <v>2015</v>
      </c>
      <c r="E20">
        <v>104744</v>
      </c>
      <c r="F20">
        <v>21377222</v>
      </c>
      <c r="G20" t="s">
        <v>35</v>
      </c>
      <c r="H20" t="s">
        <v>36</v>
      </c>
      <c r="I20" t="s">
        <v>47</v>
      </c>
      <c r="J20">
        <v>3</v>
      </c>
      <c r="K20" t="s">
        <v>38</v>
      </c>
      <c r="L20" t="s">
        <v>39</v>
      </c>
      <c r="M20" t="s">
        <v>100</v>
      </c>
      <c r="N20" t="s">
        <v>41</v>
      </c>
      <c r="O20" t="s">
        <v>42</v>
      </c>
      <c r="P20" t="s">
        <v>43</v>
      </c>
    </row>
    <row r="21" spans="1:16" x14ac:dyDescent="0.35">
      <c r="A21">
        <v>19</v>
      </c>
      <c r="B21" t="s">
        <v>51</v>
      </c>
      <c r="C21" t="s">
        <v>101</v>
      </c>
      <c r="D21">
        <v>2022</v>
      </c>
      <c r="E21">
        <v>91450</v>
      </c>
      <c r="F21">
        <v>8057917</v>
      </c>
      <c r="G21" t="s">
        <v>35</v>
      </c>
      <c r="H21" t="s">
        <v>36</v>
      </c>
      <c r="I21" t="s">
        <v>37</v>
      </c>
      <c r="J21">
        <v>3</v>
      </c>
      <c r="K21" t="s">
        <v>38</v>
      </c>
      <c r="L21" t="s">
        <v>39</v>
      </c>
      <c r="M21" t="s">
        <v>102</v>
      </c>
      <c r="N21" t="s">
        <v>74</v>
      </c>
      <c r="O21" t="s">
        <v>58</v>
      </c>
      <c r="P21" t="s">
        <v>50</v>
      </c>
    </row>
    <row r="22" spans="1:16" x14ac:dyDescent="0.35">
      <c r="A22">
        <v>20</v>
      </c>
      <c r="B22" t="s">
        <v>88</v>
      </c>
      <c r="C22" t="s">
        <v>89</v>
      </c>
      <c r="D22">
        <v>2019</v>
      </c>
      <c r="E22">
        <v>141731</v>
      </c>
      <c r="F22">
        <v>18938963</v>
      </c>
      <c r="G22" t="s">
        <v>46</v>
      </c>
      <c r="H22" t="s">
        <v>67</v>
      </c>
      <c r="I22" t="s">
        <v>79</v>
      </c>
      <c r="J22">
        <v>3</v>
      </c>
      <c r="K22" t="s">
        <v>38</v>
      </c>
      <c r="L22" t="s">
        <v>98</v>
      </c>
      <c r="M22" t="s">
        <v>103</v>
      </c>
      <c r="N22" t="s">
        <v>57</v>
      </c>
      <c r="O22" t="s">
        <v>58</v>
      </c>
      <c r="P22" t="s">
        <v>43</v>
      </c>
    </row>
    <row r="23" spans="1:16" x14ac:dyDescent="0.35">
      <c r="A23">
        <v>21</v>
      </c>
      <c r="B23" t="s">
        <v>33</v>
      </c>
      <c r="C23" t="s">
        <v>34</v>
      </c>
      <c r="D23">
        <v>2018</v>
      </c>
      <c r="E23">
        <v>140300</v>
      </c>
      <c r="F23">
        <v>4392397</v>
      </c>
      <c r="G23" t="s">
        <v>35</v>
      </c>
      <c r="H23" t="s">
        <v>36</v>
      </c>
      <c r="I23" t="s">
        <v>37</v>
      </c>
      <c r="J23">
        <v>3</v>
      </c>
      <c r="K23" t="s">
        <v>38</v>
      </c>
      <c r="L23" t="s">
        <v>39</v>
      </c>
      <c r="M23" t="s">
        <v>40</v>
      </c>
      <c r="N23" t="s">
        <v>41</v>
      </c>
      <c r="O23" t="s">
        <v>42</v>
      </c>
      <c r="P23" t="s">
        <v>43</v>
      </c>
    </row>
    <row r="24" spans="1:16" x14ac:dyDescent="0.35">
      <c r="A24">
        <v>22</v>
      </c>
      <c r="B24" t="s">
        <v>44</v>
      </c>
      <c r="C24" t="s">
        <v>45</v>
      </c>
      <c r="D24">
        <v>2016</v>
      </c>
      <c r="E24">
        <v>44429</v>
      </c>
      <c r="F24">
        <v>15550583</v>
      </c>
      <c r="G24" t="s">
        <v>46</v>
      </c>
      <c r="H24" t="s">
        <v>36</v>
      </c>
      <c r="I24" t="s">
        <v>47</v>
      </c>
      <c r="J24">
        <v>5</v>
      </c>
      <c r="K24" t="s">
        <v>38</v>
      </c>
      <c r="L24" t="s">
        <v>48</v>
      </c>
      <c r="M24" t="s">
        <v>49</v>
      </c>
      <c r="N24" t="s">
        <v>41</v>
      </c>
      <c r="O24" t="s">
        <v>42</v>
      </c>
      <c r="P24" t="s">
        <v>50</v>
      </c>
    </row>
    <row r="25" spans="1:16" x14ac:dyDescent="0.35">
      <c r="A25">
        <v>23</v>
      </c>
      <c r="B25" t="s">
        <v>51</v>
      </c>
      <c r="C25" t="s">
        <v>52</v>
      </c>
      <c r="D25">
        <v>2020</v>
      </c>
      <c r="E25">
        <v>118020</v>
      </c>
      <c r="F25">
        <v>18134749</v>
      </c>
      <c r="G25" t="s">
        <v>46</v>
      </c>
      <c r="H25" t="s">
        <v>36</v>
      </c>
      <c r="I25" t="s">
        <v>53</v>
      </c>
      <c r="J25">
        <v>3</v>
      </c>
      <c r="K25" t="s">
        <v>54</v>
      </c>
      <c r="L25" t="s">
        <v>55</v>
      </c>
      <c r="M25" t="s">
        <v>56</v>
      </c>
      <c r="N25" t="s">
        <v>57</v>
      </c>
      <c r="O25" t="s">
        <v>58</v>
      </c>
      <c r="P25" t="s">
        <v>43</v>
      </c>
    </row>
    <row r="26" spans="1:16" x14ac:dyDescent="0.35">
      <c r="A26">
        <v>24</v>
      </c>
      <c r="B26" t="s">
        <v>59</v>
      </c>
      <c r="C26" t="s">
        <v>60</v>
      </c>
      <c r="D26">
        <v>2017</v>
      </c>
      <c r="E26">
        <v>28856</v>
      </c>
      <c r="F26">
        <v>21316848</v>
      </c>
      <c r="G26" t="s">
        <v>35</v>
      </c>
      <c r="H26" t="s">
        <v>36</v>
      </c>
      <c r="I26" t="s">
        <v>61</v>
      </c>
      <c r="J26">
        <v>5</v>
      </c>
      <c r="K26" t="s">
        <v>62</v>
      </c>
      <c r="L26" t="s">
        <v>63</v>
      </c>
      <c r="M26" t="s">
        <v>64</v>
      </c>
      <c r="N26" t="s">
        <v>57</v>
      </c>
      <c r="O26" t="s">
        <v>42</v>
      </c>
      <c r="P26" t="s">
        <v>43</v>
      </c>
    </row>
    <row r="27" spans="1:16" x14ac:dyDescent="0.35">
      <c r="A27">
        <v>25</v>
      </c>
      <c r="B27" t="s">
        <v>65</v>
      </c>
      <c r="C27" t="s">
        <v>66</v>
      </c>
      <c r="D27">
        <v>2017</v>
      </c>
      <c r="E27">
        <v>137684</v>
      </c>
      <c r="F27">
        <v>22243508</v>
      </c>
      <c r="G27" t="s">
        <v>46</v>
      </c>
      <c r="H27" t="s">
        <v>67</v>
      </c>
      <c r="I27" t="s">
        <v>37</v>
      </c>
      <c r="J27">
        <v>4</v>
      </c>
      <c r="K27" t="s">
        <v>62</v>
      </c>
      <c r="L27" t="s">
        <v>48</v>
      </c>
      <c r="M27" t="s">
        <v>68</v>
      </c>
      <c r="N27" t="s">
        <v>41</v>
      </c>
      <c r="O27" t="s">
        <v>58</v>
      </c>
      <c r="P27" t="s">
        <v>50</v>
      </c>
    </row>
    <row r="28" spans="1:16" x14ac:dyDescent="0.35">
      <c r="A28">
        <v>26</v>
      </c>
      <c r="B28" t="s">
        <v>59</v>
      </c>
      <c r="C28" t="s">
        <v>69</v>
      </c>
      <c r="D28">
        <v>2022</v>
      </c>
      <c r="E28">
        <v>25965</v>
      </c>
      <c r="F28">
        <v>7701714</v>
      </c>
      <c r="G28" t="s">
        <v>35</v>
      </c>
      <c r="H28" t="s">
        <v>67</v>
      </c>
      <c r="I28" t="s">
        <v>61</v>
      </c>
      <c r="J28">
        <v>3</v>
      </c>
      <c r="K28" t="s">
        <v>54</v>
      </c>
      <c r="L28" t="s">
        <v>48</v>
      </c>
      <c r="M28" t="s">
        <v>70</v>
      </c>
      <c r="N28" t="s">
        <v>57</v>
      </c>
      <c r="O28" t="s">
        <v>58</v>
      </c>
      <c r="P28" t="s">
        <v>43</v>
      </c>
    </row>
    <row r="29" spans="1:16" x14ac:dyDescent="0.35">
      <c r="A29">
        <v>27</v>
      </c>
      <c r="B29" t="s">
        <v>71</v>
      </c>
      <c r="C29" t="s">
        <v>72</v>
      </c>
      <c r="D29">
        <v>2017</v>
      </c>
      <c r="E29">
        <v>44801</v>
      </c>
      <c r="F29">
        <v>13727866</v>
      </c>
      <c r="G29" t="s">
        <v>35</v>
      </c>
      <c r="H29" t="s">
        <v>36</v>
      </c>
      <c r="I29" t="s">
        <v>47</v>
      </c>
      <c r="J29">
        <v>5</v>
      </c>
      <c r="K29" t="s">
        <v>54</v>
      </c>
      <c r="L29" t="s">
        <v>48</v>
      </c>
      <c r="M29" t="s">
        <v>73</v>
      </c>
      <c r="N29" t="s">
        <v>74</v>
      </c>
      <c r="O29" t="s">
        <v>58</v>
      </c>
      <c r="P29" t="s">
        <v>50</v>
      </c>
    </row>
    <row r="30" spans="1:16" x14ac:dyDescent="0.35">
      <c r="A30">
        <v>28</v>
      </c>
      <c r="B30" t="s">
        <v>59</v>
      </c>
      <c r="C30" t="s">
        <v>60</v>
      </c>
      <c r="D30">
        <v>2015</v>
      </c>
      <c r="E30">
        <v>125599</v>
      </c>
      <c r="F30">
        <v>19200946</v>
      </c>
      <c r="G30" t="s">
        <v>75</v>
      </c>
      <c r="H30" t="s">
        <v>67</v>
      </c>
      <c r="I30" t="s">
        <v>53</v>
      </c>
      <c r="J30">
        <v>3</v>
      </c>
      <c r="K30" t="s">
        <v>76</v>
      </c>
      <c r="L30" t="s">
        <v>63</v>
      </c>
      <c r="M30" t="s">
        <v>77</v>
      </c>
      <c r="N30" t="s">
        <v>57</v>
      </c>
      <c r="O30" t="s">
        <v>42</v>
      </c>
      <c r="P30" t="s">
        <v>50</v>
      </c>
    </row>
    <row r="31" spans="1:16" x14ac:dyDescent="0.35">
      <c r="A31">
        <v>29</v>
      </c>
      <c r="B31" t="s">
        <v>51</v>
      </c>
      <c r="C31" t="s">
        <v>78</v>
      </c>
      <c r="D31">
        <v>2021</v>
      </c>
      <c r="E31">
        <v>70467</v>
      </c>
      <c r="F31">
        <v>21908286</v>
      </c>
      <c r="G31" t="s">
        <v>46</v>
      </c>
      <c r="H31" t="s">
        <v>67</v>
      </c>
      <c r="I31" t="s">
        <v>79</v>
      </c>
      <c r="J31">
        <v>3</v>
      </c>
      <c r="K31" t="s">
        <v>38</v>
      </c>
      <c r="L31" t="s">
        <v>39</v>
      </c>
      <c r="M31" t="s">
        <v>80</v>
      </c>
      <c r="N31" t="s">
        <v>74</v>
      </c>
      <c r="O31" t="s">
        <v>58</v>
      </c>
      <c r="P31" t="s">
        <v>43</v>
      </c>
    </row>
    <row r="32" spans="1:16" x14ac:dyDescent="0.35">
      <c r="A32">
        <v>30</v>
      </c>
      <c r="B32" t="s">
        <v>81</v>
      </c>
      <c r="C32" t="s">
        <v>82</v>
      </c>
      <c r="D32">
        <v>2017</v>
      </c>
      <c r="E32">
        <v>52055</v>
      </c>
      <c r="F32">
        <v>23237584</v>
      </c>
      <c r="G32" t="s">
        <v>35</v>
      </c>
      <c r="H32" t="s">
        <v>67</v>
      </c>
      <c r="I32" t="s">
        <v>47</v>
      </c>
      <c r="J32">
        <v>5</v>
      </c>
      <c r="K32" t="s">
        <v>62</v>
      </c>
      <c r="L32" t="s">
        <v>55</v>
      </c>
      <c r="M32" t="s">
        <v>83</v>
      </c>
      <c r="N32" t="s">
        <v>41</v>
      </c>
      <c r="O32" t="s">
        <v>58</v>
      </c>
      <c r="P32" t="s">
        <v>43</v>
      </c>
    </row>
    <row r="33" spans="1:16" x14ac:dyDescent="0.35">
      <c r="A33">
        <v>31</v>
      </c>
      <c r="B33" t="s">
        <v>65</v>
      </c>
      <c r="C33" t="s">
        <v>84</v>
      </c>
      <c r="D33">
        <v>2023</v>
      </c>
      <c r="E33">
        <v>82137</v>
      </c>
      <c r="F33">
        <v>23025850</v>
      </c>
      <c r="G33" t="s">
        <v>75</v>
      </c>
      <c r="H33" t="s">
        <v>67</v>
      </c>
      <c r="I33" t="s">
        <v>53</v>
      </c>
      <c r="J33">
        <v>3</v>
      </c>
      <c r="K33" t="s">
        <v>38</v>
      </c>
      <c r="L33" t="s">
        <v>63</v>
      </c>
      <c r="M33" t="s">
        <v>85</v>
      </c>
      <c r="N33" t="s">
        <v>74</v>
      </c>
      <c r="O33" t="s">
        <v>58</v>
      </c>
      <c r="P33" t="s">
        <v>50</v>
      </c>
    </row>
    <row r="34" spans="1:16" x14ac:dyDescent="0.35">
      <c r="A34">
        <v>32</v>
      </c>
      <c r="B34" t="s">
        <v>71</v>
      </c>
      <c r="C34" t="s">
        <v>86</v>
      </c>
      <c r="D34">
        <v>2015</v>
      </c>
      <c r="E34">
        <v>77417</v>
      </c>
      <c r="F34">
        <v>20319193</v>
      </c>
      <c r="G34" t="s">
        <v>75</v>
      </c>
      <c r="H34" t="s">
        <v>36</v>
      </c>
      <c r="I34" t="s">
        <v>47</v>
      </c>
      <c r="J34">
        <v>3</v>
      </c>
      <c r="K34" t="s">
        <v>62</v>
      </c>
      <c r="L34" t="s">
        <v>48</v>
      </c>
      <c r="M34" t="s">
        <v>87</v>
      </c>
      <c r="N34" t="s">
        <v>74</v>
      </c>
      <c r="O34" t="s">
        <v>58</v>
      </c>
      <c r="P34" t="s">
        <v>50</v>
      </c>
    </row>
    <row r="35" spans="1:16" x14ac:dyDescent="0.35">
      <c r="A35">
        <v>33</v>
      </c>
      <c r="B35" t="s">
        <v>88</v>
      </c>
      <c r="C35" t="s">
        <v>89</v>
      </c>
      <c r="D35">
        <v>2023</v>
      </c>
      <c r="E35">
        <v>28861</v>
      </c>
      <c r="F35">
        <v>4532832</v>
      </c>
      <c r="G35" t="s">
        <v>46</v>
      </c>
      <c r="H35" t="s">
        <v>67</v>
      </c>
      <c r="I35" t="s">
        <v>47</v>
      </c>
      <c r="J35">
        <v>5</v>
      </c>
      <c r="K35" t="s">
        <v>54</v>
      </c>
      <c r="L35" t="s">
        <v>48</v>
      </c>
      <c r="M35" t="s">
        <v>90</v>
      </c>
      <c r="N35" t="s">
        <v>41</v>
      </c>
      <c r="O35" t="s">
        <v>58</v>
      </c>
      <c r="P35" t="s">
        <v>43</v>
      </c>
    </row>
    <row r="36" spans="1:16" x14ac:dyDescent="0.35">
      <c r="A36">
        <v>34</v>
      </c>
      <c r="B36" t="s">
        <v>65</v>
      </c>
      <c r="C36" t="s">
        <v>91</v>
      </c>
      <c r="D36">
        <v>2022</v>
      </c>
      <c r="E36">
        <v>27118</v>
      </c>
      <c r="F36">
        <v>8258517</v>
      </c>
      <c r="G36" t="s">
        <v>46</v>
      </c>
      <c r="H36" t="s">
        <v>36</v>
      </c>
      <c r="I36" t="s">
        <v>53</v>
      </c>
      <c r="J36">
        <v>4</v>
      </c>
      <c r="K36" t="s">
        <v>54</v>
      </c>
      <c r="L36" t="s">
        <v>39</v>
      </c>
      <c r="M36" t="s">
        <v>92</v>
      </c>
      <c r="N36" t="s">
        <v>74</v>
      </c>
      <c r="O36" t="s">
        <v>42</v>
      </c>
      <c r="P36" t="s">
        <v>50</v>
      </c>
    </row>
    <row r="37" spans="1:16" x14ac:dyDescent="0.35">
      <c r="A37">
        <v>35</v>
      </c>
      <c r="B37" t="s">
        <v>44</v>
      </c>
      <c r="C37" t="s">
        <v>93</v>
      </c>
      <c r="D37">
        <v>2019</v>
      </c>
      <c r="E37">
        <v>23581</v>
      </c>
      <c r="F37">
        <v>18526043</v>
      </c>
      <c r="G37" t="s">
        <v>46</v>
      </c>
      <c r="H37" t="s">
        <v>67</v>
      </c>
      <c r="I37" t="s">
        <v>47</v>
      </c>
      <c r="J37">
        <v>5</v>
      </c>
      <c r="K37" t="s">
        <v>54</v>
      </c>
      <c r="L37" t="s">
        <v>55</v>
      </c>
      <c r="M37" t="s">
        <v>94</v>
      </c>
      <c r="N37" t="s">
        <v>41</v>
      </c>
      <c r="O37" t="s">
        <v>58</v>
      </c>
      <c r="P37" t="s">
        <v>50</v>
      </c>
    </row>
    <row r="38" spans="1:16" x14ac:dyDescent="0.35">
      <c r="A38">
        <v>36</v>
      </c>
      <c r="B38" t="s">
        <v>44</v>
      </c>
      <c r="C38" t="s">
        <v>45</v>
      </c>
      <c r="D38">
        <v>2019</v>
      </c>
      <c r="E38">
        <v>94325</v>
      </c>
      <c r="F38">
        <v>21895688</v>
      </c>
      <c r="G38" t="s">
        <v>35</v>
      </c>
      <c r="H38" t="s">
        <v>67</v>
      </c>
      <c r="I38" t="s">
        <v>47</v>
      </c>
      <c r="J38">
        <v>5</v>
      </c>
      <c r="K38" t="s">
        <v>62</v>
      </c>
      <c r="L38" t="s">
        <v>39</v>
      </c>
      <c r="M38" t="s">
        <v>95</v>
      </c>
      <c r="N38" t="s">
        <v>57</v>
      </c>
      <c r="O38" t="s">
        <v>58</v>
      </c>
      <c r="P38" t="s">
        <v>43</v>
      </c>
    </row>
    <row r="39" spans="1:16" x14ac:dyDescent="0.35">
      <c r="A39">
        <v>37</v>
      </c>
      <c r="B39" t="s">
        <v>96</v>
      </c>
      <c r="C39" t="s">
        <v>97</v>
      </c>
      <c r="D39">
        <v>2017</v>
      </c>
      <c r="E39">
        <v>137001</v>
      </c>
      <c r="F39">
        <v>10016668</v>
      </c>
      <c r="G39" t="s">
        <v>75</v>
      </c>
      <c r="H39" t="s">
        <v>67</v>
      </c>
      <c r="I39" t="s">
        <v>79</v>
      </c>
      <c r="J39">
        <v>4</v>
      </c>
      <c r="K39" t="s">
        <v>54</v>
      </c>
      <c r="L39" t="s">
        <v>98</v>
      </c>
      <c r="M39" t="s">
        <v>99</v>
      </c>
      <c r="N39" t="s">
        <v>74</v>
      </c>
      <c r="O39" t="s">
        <v>42</v>
      </c>
      <c r="P39" t="s">
        <v>50</v>
      </c>
    </row>
    <row r="40" spans="1:16" x14ac:dyDescent="0.35">
      <c r="A40">
        <v>38</v>
      </c>
      <c r="B40" t="s">
        <v>59</v>
      </c>
      <c r="C40" t="s">
        <v>69</v>
      </c>
      <c r="D40">
        <v>2015</v>
      </c>
      <c r="E40">
        <v>104744</v>
      </c>
      <c r="F40">
        <v>21377222</v>
      </c>
      <c r="G40" t="s">
        <v>35</v>
      </c>
      <c r="H40" t="s">
        <v>36</v>
      </c>
      <c r="I40" t="s">
        <v>47</v>
      </c>
      <c r="J40">
        <v>3</v>
      </c>
      <c r="K40" t="s">
        <v>38</v>
      </c>
      <c r="L40" t="s">
        <v>39</v>
      </c>
      <c r="M40" t="s">
        <v>100</v>
      </c>
      <c r="N40" t="s">
        <v>41</v>
      </c>
      <c r="O40" t="s">
        <v>42</v>
      </c>
      <c r="P40" t="s">
        <v>43</v>
      </c>
    </row>
    <row r="41" spans="1:16" x14ac:dyDescent="0.35">
      <c r="A41">
        <v>39</v>
      </c>
      <c r="B41" t="s">
        <v>51</v>
      </c>
      <c r="C41" t="s">
        <v>101</v>
      </c>
      <c r="D41">
        <v>2022</v>
      </c>
      <c r="E41">
        <v>91450</v>
      </c>
      <c r="F41">
        <v>8057917</v>
      </c>
      <c r="G41" t="s">
        <v>35</v>
      </c>
      <c r="H41" t="s">
        <v>36</v>
      </c>
      <c r="I41" t="s">
        <v>37</v>
      </c>
      <c r="J41">
        <v>3</v>
      </c>
      <c r="K41" t="s">
        <v>38</v>
      </c>
      <c r="L41" t="s">
        <v>39</v>
      </c>
      <c r="M41" t="s">
        <v>102</v>
      </c>
      <c r="N41" t="s">
        <v>74</v>
      </c>
      <c r="O41" t="s">
        <v>58</v>
      </c>
      <c r="P41" t="s">
        <v>50</v>
      </c>
    </row>
    <row r="42" spans="1:16" x14ac:dyDescent="0.35">
      <c r="A42">
        <v>40</v>
      </c>
      <c r="B42" t="s">
        <v>88</v>
      </c>
      <c r="C42" t="s">
        <v>89</v>
      </c>
      <c r="D42">
        <v>2019</v>
      </c>
      <c r="E42">
        <v>141731</v>
      </c>
      <c r="F42">
        <v>18938963</v>
      </c>
      <c r="G42" t="s">
        <v>46</v>
      </c>
      <c r="H42" t="s">
        <v>67</v>
      </c>
      <c r="I42" t="s">
        <v>79</v>
      </c>
      <c r="J42">
        <v>3</v>
      </c>
      <c r="K42" t="s">
        <v>38</v>
      </c>
      <c r="L42" t="s">
        <v>98</v>
      </c>
      <c r="M42" t="s">
        <v>103</v>
      </c>
      <c r="N42" t="s">
        <v>57</v>
      </c>
      <c r="O42" t="s">
        <v>58</v>
      </c>
      <c r="P42" t="s">
        <v>43</v>
      </c>
    </row>
  </sheetData>
  <mergeCells count="1">
    <mergeCell ref="A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1"/>
  <sheetViews>
    <sheetView topLeftCell="A10" zoomScale="73" zoomScaleNormal="100" workbookViewId="0">
      <selection sqref="A1:P41"/>
    </sheetView>
  </sheetViews>
  <sheetFormatPr baseColWidth="10" defaultColWidth="8.7265625" defaultRowHeight="14.5" x14ac:dyDescent="0.35"/>
  <cols>
    <col min="2" max="2" width="10.6328125" bestFit="1" customWidth="1"/>
    <col min="3" max="3" width="7.7265625" style="9" bestFit="1" customWidth="1"/>
    <col min="4" max="4" width="4.81640625" bestFit="1" customWidth="1"/>
    <col min="5" max="5" width="10.54296875" style="11" bestFit="1" customWidth="1"/>
    <col min="6" max="6" width="13.81640625" style="5" bestFit="1" customWidth="1"/>
    <col min="7" max="7" width="16.08984375" bestFit="1" customWidth="1"/>
    <col min="8" max="8" width="11" bestFit="1" customWidth="1"/>
    <col min="9" max="9" width="8.08984375" bestFit="1" customWidth="1"/>
    <col min="10" max="10" width="7.26953125" bestFit="1" customWidth="1"/>
    <col min="11" max="11" width="9.453125" bestFit="1" customWidth="1"/>
    <col min="12" max="12" width="11.6328125" bestFit="1" customWidth="1"/>
    <col min="13" max="13" width="16.1796875" style="7" bestFit="1" customWidth="1"/>
    <col min="14" max="14" width="10" bestFit="1" customWidth="1"/>
    <col min="15" max="15" width="9.7265625" bestFit="1" customWidth="1"/>
    <col min="16" max="16" width="11.08984375" bestFit="1" customWidth="1"/>
    <col min="17" max="17" width="11.26953125" customWidth="1"/>
    <col min="18" max="18" width="10.81640625" bestFit="1" customWidth="1"/>
  </cols>
  <sheetData>
    <row r="1" spans="1:18" x14ac:dyDescent="0.35">
      <c r="A1" s="1" t="s">
        <v>15</v>
      </c>
      <c r="B1" s="1" t="s">
        <v>16</v>
      </c>
      <c r="C1" s="8" t="s">
        <v>17</v>
      </c>
      <c r="D1" s="1" t="s">
        <v>18</v>
      </c>
      <c r="E1" s="10" t="s">
        <v>19</v>
      </c>
      <c r="F1" s="4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6" t="s">
        <v>27</v>
      </c>
      <c r="N1" s="1" t="s">
        <v>28</v>
      </c>
      <c r="O1" s="1" t="s">
        <v>29</v>
      </c>
      <c r="P1" s="1" t="s">
        <v>30</v>
      </c>
      <c r="Q1" s="22" t="s">
        <v>31</v>
      </c>
      <c r="R1" s="22" t="s">
        <v>32</v>
      </c>
    </row>
    <row r="2" spans="1:18" x14ac:dyDescent="0.35">
      <c r="A2">
        <v>1</v>
      </c>
      <c r="B2" t="s">
        <v>33</v>
      </c>
      <c r="C2" s="9" t="s">
        <v>34</v>
      </c>
      <c r="D2">
        <v>2018</v>
      </c>
      <c r="E2" s="11">
        <v>140300</v>
      </c>
      <c r="F2" s="5">
        <v>4392397</v>
      </c>
      <c r="G2" t="s">
        <v>35</v>
      </c>
      <c r="H2" t="s">
        <v>36</v>
      </c>
      <c r="I2" t="s">
        <v>37</v>
      </c>
      <c r="J2">
        <v>3</v>
      </c>
      <c r="K2" t="s">
        <v>38</v>
      </c>
      <c r="L2" t="s">
        <v>39</v>
      </c>
      <c r="M2" s="7" t="s">
        <v>40</v>
      </c>
      <c r="N2" t="s">
        <v>41</v>
      </c>
      <c r="O2" t="s">
        <v>42</v>
      </c>
      <c r="P2" t="s">
        <v>43</v>
      </c>
      <c r="Q2" t="str">
        <f t="shared" ref="Q2:Q41" si="0">IF(F2&gt;20000000,"Alta","Media")</f>
        <v>Media</v>
      </c>
      <c r="R2" t="str">
        <f t="shared" ref="R2:R41" si="1">IF(O2="Nacional","Sí","No")</f>
        <v>No</v>
      </c>
    </row>
    <row r="3" spans="1:18" x14ac:dyDescent="0.35">
      <c r="A3">
        <v>2</v>
      </c>
      <c r="B3" t="s">
        <v>44</v>
      </c>
      <c r="C3" s="9" t="s">
        <v>45</v>
      </c>
      <c r="D3">
        <v>2016</v>
      </c>
      <c r="E3" s="11">
        <v>44429</v>
      </c>
      <c r="F3" s="5">
        <v>15550583</v>
      </c>
      <c r="G3" t="s">
        <v>46</v>
      </c>
      <c r="H3" t="s">
        <v>36</v>
      </c>
      <c r="I3" t="s">
        <v>47</v>
      </c>
      <c r="J3">
        <v>5</v>
      </c>
      <c r="K3" t="s">
        <v>38</v>
      </c>
      <c r="L3" t="s">
        <v>48</v>
      </c>
      <c r="M3" s="7" t="s">
        <v>49</v>
      </c>
      <c r="N3" t="s">
        <v>41</v>
      </c>
      <c r="O3" t="s">
        <v>42</v>
      </c>
      <c r="P3" t="s">
        <v>50</v>
      </c>
      <c r="Q3" t="str">
        <f t="shared" si="0"/>
        <v>Media</v>
      </c>
      <c r="R3" t="str">
        <f t="shared" si="1"/>
        <v>No</v>
      </c>
    </row>
    <row r="4" spans="1:18" x14ac:dyDescent="0.35">
      <c r="A4">
        <v>3</v>
      </c>
      <c r="B4" t="s">
        <v>51</v>
      </c>
      <c r="C4" s="9" t="s">
        <v>52</v>
      </c>
      <c r="D4">
        <v>2020</v>
      </c>
      <c r="E4" s="11">
        <v>118020</v>
      </c>
      <c r="F4" s="5">
        <v>18134749</v>
      </c>
      <c r="G4" t="s">
        <v>46</v>
      </c>
      <c r="H4" t="s">
        <v>36</v>
      </c>
      <c r="I4" t="s">
        <v>53</v>
      </c>
      <c r="J4">
        <v>3</v>
      </c>
      <c r="K4" t="s">
        <v>54</v>
      </c>
      <c r="L4" t="s">
        <v>55</v>
      </c>
      <c r="M4" s="7" t="s">
        <v>56</v>
      </c>
      <c r="N4" t="s">
        <v>57</v>
      </c>
      <c r="O4" t="s">
        <v>58</v>
      </c>
      <c r="P4" t="s">
        <v>43</v>
      </c>
      <c r="Q4" t="str">
        <f t="shared" si="0"/>
        <v>Media</v>
      </c>
      <c r="R4" t="str">
        <f t="shared" si="1"/>
        <v>Sí</v>
      </c>
    </row>
    <row r="5" spans="1:18" x14ac:dyDescent="0.35">
      <c r="A5">
        <v>4</v>
      </c>
      <c r="B5" t="s">
        <v>59</v>
      </c>
      <c r="C5" s="9" t="s">
        <v>60</v>
      </c>
      <c r="D5">
        <v>2017</v>
      </c>
      <c r="E5" s="11">
        <v>28856</v>
      </c>
      <c r="F5" s="5">
        <v>21316848</v>
      </c>
      <c r="G5" t="s">
        <v>35</v>
      </c>
      <c r="H5" t="s">
        <v>36</v>
      </c>
      <c r="I5" t="s">
        <v>61</v>
      </c>
      <c r="J5">
        <v>5</v>
      </c>
      <c r="K5" t="s">
        <v>62</v>
      </c>
      <c r="L5" t="s">
        <v>63</v>
      </c>
      <c r="M5" s="7" t="s">
        <v>64</v>
      </c>
      <c r="N5" t="s">
        <v>57</v>
      </c>
      <c r="O5" t="s">
        <v>42</v>
      </c>
      <c r="P5" t="s">
        <v>43</v>
      </c>
      <c r="Q5" t="str">
        <f t="shared" si="0"/>
        <v>Alta</v>
      </c>
      <c r="R5" t="str">
        <f t="shared" si="1"/>
        <v>No</v>
      </c>
    </row>
    <row r="6" spans="1:18" x14ac:dyDescent="0.35">
      <c r="A6">
        <v>5</v>
      </c>
      <c r="B6" t="s">
        <v>65</v>
      </c>
      <c r="C6" s="9" t="s">
        <v>66</v>
      </c>
      <c r="D6">
        <v>2017</v>
      </c>
      <c r="E6" s="11">
        <v>137684</v>
      </c>
      <c r="F6" s="5">
        <v>22243508</v>
      </c>
      <c r="G6" t="s">
        <v>46</v>
      </c>
      <c r="H6" t="s">
        <v>67</v>
      </c>
      <c r="I6" t="s">
        <v>37</v>
      </c>
      <c r="J6">
        <v>4</v>
      </c>
      <c r="K6" t="s">
        <v>62</v>
      </c>
      <c r="L6" t="s">
        <v>48</v>
      </c>
      <c r="M6" s="7" t="s">
        <v>68</v>
      </c>
      <c r="N6" t="s">
        <v>41</v>
      </c>
      <c r="O6" t="s">
        <v>58</v>
      </c>
      <c r="P6" t="s">
        <v>50</v>
      </c>
      <c r="Q6" t="str">
        <f t="shared" si="0"/>
        <v>Alta</v>
      </c>
      <c r="R6" t="str">
        <f t="shared" si="1"/>
        <v>Sí</v>
      </c>
    </row>
    <row r="7" spans="1:18" x14ac:dyDescent="0.35">
      <c r="A7">
        <v>6</v>
      </c>
      <c r="B7" t="s">
        <v>59</v>
      </c>
      <c r="C7" s="9" t="s">
        <v>69</v>
      </c>
      <c r="D7">
        <v>2022</v>
      </c>
      <c r="E7" s="11">
        <v>25965</v>
      </c>
      <c r="F7" s="5">
        <v>7701714</v>
      </c>
      <c r="G7" t="s">
        <v>35</v>
      </c>
      <c r="H7" t="s">
        <v>67</v>
      </c>
      <c r="I7" t="s">
        <v>61</v>
      </c>
      <c r="J7">
        <v>3</v>
      </c>
      <c r="K7" t="s">
        <v>54</v>
      </c>
      <c r="L7" t="s">
        <v>48</v>
      </c>
      <c r="M7" s="7" t="s">
        <v>70</v>
      </c>
      <c r="N7" t="s">
        <v>57</v>
      </c>
      <c r="O7" t="s">
        <v>58</v>
      </c>
      <c r="P7" t="s">
        <v>43</v>
      </c>
      <c r="Q7" t="str">
        <f t="shared" si="0"/>
        <v>Media</v>
      </c>
      <c r="R7" t="str">
        <f t="shared" si="1"/>
        <v>Sí</v>
      </c>
    </row>
    <row r="8" spans="1:18" x14ac:dyDescent="0.35">
      <c r="A8">
        <v>7</v>
      </c>
      <c r="B8" t="s">
        <v>71</v>
      </c>
      <c r="C8" s="9" t="s">
        <v>72</v>
      </c>
      <c r="D8">
        <v>2017</v>
      </c>
      <c r="E8" s="11">
        <v>44801</v>
      </c>
      <c r="F8" s="5">
        <v>13727866</v>
      </c>
      <c r="G8" t="s">
        <v>35</v>
      </c>
      <c r="H8" t="s">
        <v>36</v>
      </c>
      <c r="I8" t="s">
        <v>47</v>
      </c>
      <c r="J8">
        <v>5</v>
      </c>
      <c r="K8" t="s">
        <v>54</v>
      </c>
      <c r="L8" t="s">
        <v>48</v>
      </c>
      <c r="M8" s="7" t="s">
        <v>73</v>
      </c>
      <c r="N8" t="s">
        <v>74</v>
      </c>
      <c r="O8" t="s">
        <v>58</v>
      </c>
      <c r="P8" t="s">
        <v>50</v>
      </c>
      <c r="Q8" t="str">
        <f t="shared" si="0"/>
        <v>Media</v>
      </c>
      <c r="R8" t="str">
        <f t="shared" si="1"/>
        <v>Sí</v>
      </c>
    </row>
    <row r="9" spans="1:18" x14ac:dyDescent="0.35">
      <c r="A9">
        <v>8</v>
      </c>
      <c r="B9" t="s">
        <v>59</v>
      </c>
      <c r="C9" s="9" t="s">
        <v>60</v>
      </c>
      <c r="D9">
        <v>2015</v>
      </c>
      <c r="E9" s="11">
        <v>125599</v>
      </c>
      <c r="F9" s="5">
        <v>19200946</v>
      </c>
      <c r="G9" t="s">
        <v>75</v>
      </c>
      <c r="H9" t="s">
        <v>67</v>
      </c>
      <c r="I9" t="s">
        <v>53</v>
      </c>
      <c r="J9">
        <v>3</v>
      </c>
      <c r="K9" t="s">
        <v>76</v>
      </c>
      <c r="L9" t="s">
        <v>63</v>
      </c>
      <c r="M9" s="7" t="s">
        <v>77</v>
      </c>
      <c r="N9" t="s">
        <v>57</v>
      </c>
      <c r="O9" t="s">
        <v>42</v>
      </c>
      <c r="P9" t="s">
        <v>50</v>
      </c>
      <c r="Q9" t="str">
        <f t="shared" si="0"/>
        <v>Media</v>
      </c>
      <c r="R9" t="str">
        <f t="shared" si="1"/>
        <v>No</v>
      </c>
    </row>
    <row r="10" spans="1:18" x14ac:dyDescent="0.35">
      <c r="A10">
        <v>9</v>
      </c>
      <c r="B10" t="s">
        <v>51</v>
      </c>
      <c r="C10" s="9" t="s">
        <v>78</v>
      </c>
      <c r="D10">
        <v>2021</v>
      </c>
      <c r="E10" s="11">
        <v>70467</v>
      </c>
      <c r="F10" s="5">
        <v>21908286</v>
      </c>
      <c r="G10" t="s">
        <v>46</v>
      </c>
      <c r="H10" t="s">
        <v>67</v>
      </c>
      <c r="I10" t="s">
        <v>79</v>
      </c>
      <c r="J10">
        <v>3</v>
      </c>
      <c r="K10" t="s">
        <v>38</v>
      </c>
      <c r="L10" t="s">
        <v>39</v>
      </c>
      <c r="M10" s="7" t="s">
        <v>80</v>
      </c>
      <c r="N10" t="s">
        <v>74</v>
      </c>
      <c r="O10" t="s">
        <v>58</v>
      </c>
      <c r="P10" t="s">
        <v>43</v>
      </c>
      <c r="Q10" t="str">
        <f t="shared" si="0"/>
        <v>Alta</v>
      </c>
      <c r="R10" t="str">
        <f t="shared" si="1"/>
        <v>Sí</v>
      </c>
    </row>
    <row r="11" spans="1:18" x14ac:dyDescent="0.35">
      <c r="A11">
        <v>10</v>
      </c>
      <c r="B11" t="s">
        <v>81</v>
      </c>
      <c r="C11" s="9" t="s">
        <v>82</v>
      </c>
      <c r="D11">
        <v>2017</v>
      </c>
      <c r="E11" s="11">
        <v>52055</v>
      </c>
      <c r="F11" s="5">
        <v>23237584</v>
      </c>
      <c r="G11" t="s">
        <v>35</v>
      </c>
      <c r="H11" t="s">
        <v>67</v>
      </c>
      <c r="I11" t="s">
        <v>47</v>
      </c>
      <c r="J11">
        <v>5</v>
      </c>
      <c r="K11" t="s">
        <v>62</v>
      </c>
      <c r="L11" t="s">
        <v>55</v>
      </c>
      <c r="M11" s="7" t="s">
        <v>83</v>
      </c>
      <c r="N11" t="s">
        <v>41</v>
      </c>
      <c r="O11" t="s">
        <v>58</v>
      </c>
      <c r="P11" t="s">
        <v>43</v>
      </c>
      <c r="Q11" t="str">
        <f t="shared" si="0"/>
        <v>Alta</v>
      </c>
      <c r="R11" t="str">
        <f t="shared" si="1"/>
        <v>Sí</v>
      </c>
    </row>
    <row r="12" spans="1:18" x14ac:dyDescent="0.35">
      <c r="A12">
        <v>11</v>
      </c>
      <c r="B12" t="s">
        <v>65</v>
      </c>
      <c r="C12" s="9" t="s">
        <v>84</v>
      </c>
      <c r="D12">
        <v>2023</v>
      </c>
      <c r="E12" s="11">
        <v>82137</v>
      </c>
      <c r="F12" s="5">
        <v>23025850</v>
      </c>
      <c r="G12" t="s">
        <v>75</v>
      </c>
      <c r="H12" t="s">
        <v>67</v>
      </c>
      <c r="I12" t="s">
        <v>53</v>
      </c>
      <c r="J12">
        <v>3</v>
      </c>
      <c r="K12" t="s">
        <v>38</v>
      </c>
      <c r="L12" t="s">
        <v>63</v>
      </c>
      <c r="M12" s="7" t="s">
        <v>85</v>
      </c>
      <c r="N12" t="s">
        <v>74</v>
      </c>
      <c r="O12" t="s">
        <v>58</v>
      </c>
      <c r="P12" t="s">
        <v>50</v>
      </c>
      <c r="Q12" t="str">
        <f t="shared" si="0"/>
        <v>Alta</v>
      </c>
      <c r="R12" t="str">
        <f t="shared" si="1"/>
        <v>Sí</v>
      </c>
    </row>
    <row r="13" spans="1:18" x14ac:dyDescent="0.35">
      <c r="A13">
        <v>12</v>
      </c>
      <c r="B13" t="s">
        <v>71</v>
      </c>
      <c r="C13" s="9" t="s">
        <v>86</v>
      </c>
      <c r="D13">
        <v>2015</v>
      </c>
      <c r="E13" s="11">
        <v>77417</v>
      </c>
      <c r="F13" s="5">
        <v>20319193</v>
      </c>
      <c r="G13" t="s">
        <v>75</v>
      </c>
      <c r="H13" t="s">
        <v>36</v>
      </c>
      <c r="I13" t="s">
        <v>47</v>
      </c>
      <c r="J13">
        <v>3</v>
      </c>
      <c r="K13" t="s">
        <v>62</v>
      </c>
      <c r="L13" t="s">
        <v>48</v>
      </c>
      <c r="M13" s="7" t="s">
        <v>87</v>
      </c>
      <c r="N13" t="s">
        <v>74</v>
      </c>
      <c r="O13" t="s">
        <v>58</v>
      </c>
      <c r="P13" t="s">
        <v>50</v>
      </c>
      <c r="Q13" t="str">
        <f t="shared" si="0"/>
        <v>Alta</v>
      </c>
      <c r="R13" t="str">
        <f t="shared" si="1"/>
        <v>Sí</v>
      </c>
    </row>
    <row r="14" spans="1:18" x14ac:dyDescent="0.35">
      <c r="A14">
        <v>13</v>
      </c>
      <c r="B14" t="s">
        <v>88</v>
      </c>
      <c r="C14" s="9" t="s">
        <v>89</v>
      </c>
      <c r="D14">
        <v>2023</v>
      </c>
      <c r="E14" s="11">
        <v>28861</v>
      </c>
      <c r="F14" s="5">
        <v>4532832</v>
      </c>
      <c r="G14" t="s">
        <v>46</v>
      </c>
      <c r="H14" t="s">
        <v>67</v>
      </c>
      <c r="I14" t="s">
        <v>47</v>
      </c>
      <c r="J14">
        <v>5</v>
      </c>
      <c r="K14" t="s">
        <v>54</v>
      </c>
      <c r="L14" t="s">
        <v>48</v>
      </c>
      <c r="M14" s="7" t="s">
        <v>90</v>
      </c>
      <c r="N14" t="s">
        <v>41</v>
      </c>
      <c r="O14" t="s">
        <v>58</v>
      </c>
      <c r="P14" t="s">
        <v>43</v>
      </c>
      <c r="Q14" t="str">
        <f t="shared" si="0"/>
        <v>Media</v>
      </c>
      <c r="R14" t="str">
        <f t="shared" si="1"/>
        <v>Sí</v>
      </c>
    </row>
    <row r="15" spans="1:18" x14ac:dyDescent="0.35">
      <c r="A15">
        <v>14</v>
      </c>
      <c r="B15" t="s">
        <v>65</v>
      </c>
      <c r="C15" s="9" t="s">
        <v>91</v>
      </c>
      <c r="D15">
        <v>2022</v>
      </c>
      <c r="E15" s="11">
        <v>27118</v>
      </c>
      <c r="F15" s="5">
        <v>8258517</v>
      </c>
      <c r="G15" t="s">
        <v>46</v>
      </c>
      <c r="H15" t="s">
        <v>36</v>
      </c>
      <c r="I15" t="s">
        <v>53</v>
      </c>
      <c r="J15">
        <v>4</v>
      </c>
      <c r="K15" t="s">
        <v>54</v>
      </c>
      <c r="L15" t="s">
        <v>39</v>
      </c>
      <c r="M15" s="7" t="s">
        <v>92</v>
      </c>
      <c r="N15" t="s">
        <v>74</v>
      </c>
      <c r="O15" t="s">
        <v>42</v>
      </c>
      <c r="P15" t="s">
        <v>50</v>
      </c>
      <c r="Q15" t="str">
        <f t="shared" si="0"/>
        <v>Media</v>
      </c>
      <c r="R15" t="str">
        <f t="shared" si="1"/>
        <v>No</v>
      </c>
    </row>
    <row r="16" spans="1:18" x14ac:dyDescent="0.35">
      <c r="A16">
        <v>15</v>
      </c>
      <c r="B16" t="s">
        <v>44</v>
      </c>
      <c r="C16" s="9" t="s">
        <v>93</v>
      </c>
      <c r="D16">
        <v>2019</v>
      </c>
      <c r="E16" s="11">
        <v>23581</v>
      </c>
      <c r="F16" s="5">
        <v>18526043</v>
      </c>
      <c r="G16" t="s">
        <v>46</v>
      </c>
      <c r="H16" t="s">
        <v>67</v>
      </c>
      <c r="I16" t="s">
        <v>47</v>
      </c>
      <c r="J16">
        <v>5</v>
      </c>
      <c r="K16" t="s">
        <v>54</v>
      </c>
      <c r="L16" t="s">
        <v>55</v>
      </c>
      <c r="M16" s="7" t="s">
        <v>94</v>
      </c>
      <c r="N16" t="s">
        <v>41</v>
      </c>
      <c r="O16" t="s">
        <v>58</v>
      </c>
      <c r="P16" t="s">
        <v>50</v>
      </c>
      <c r="Q16" t="str">
        <f t="shared" si="0"/>
        <v>Media</v>
      </c>
      <c r="R16" t="str">
        <f t="shared" si="1"/>
        <v>Sí</v>
      </c>
    </row>
    <row r="17" spans="1:18" x14ac:dyDescent="0.35">
      <c r="A17">
        <v>16</v>
      </c>
      <c r="B17" t="s">
        <v>44</v>
      </c>
      <c r="C17" s="9" t="s">
        <v>45</v>
      </c>
      <c r="D17">
        <v>2019</v>
      </c>
      <c r="E17" s="11">
        <v>94325</v>
      </c>
      <c r="F17" s="5">
        <v>21895688</v>
      </c>
      <c r="G17" t="s">
        <v>35</v>
      </c>
      <c r="H17" t="s">
        <v>67</v>
      </c>
      <c r="I17" t="s">
        <v>47</v>
      </c>
      <c r="J17">
        <v>5</v>
      </c>
      <c r="K17" t="s">
        <v>62</v>
      </c>
      <c r="L17" t="s">
        <v>39</v>
      </c>
      <c r="M17" s="7" t="s">
        <v>95</v>
      </c>
      <c r="N17" t="s">
        <v>57</v>
      </c>
      <c r="O17" t="s">
        <v>58</v>
      </c>
      <c r="P17" t="s">
        <v>43</v>
      </c>
      <c r="Q17" t="str">
        <f t="shared" si="0"/>
        <v>Alta</v>
      </c>
      <c r="R17" t="str">
        <f t="shared" si="1"/>
        <v>Sí</v>
      </c>
    </row>
    <row r="18" spans="1:18" x14ac:dyDescent="0.35">
      <c r="A18">
        <v>17</v>
      </c>
      <c r="B18" t="s">
        <v>96</v>
      </c>
      <c r="C18" s="9" t="s">
        <v>97</v>
      </c>
      <c r="D18">
        <v>2017</v>
      </c>
      <c r="E18" s="11">
        <v>137001</v>
      </c>
      <c r="F18" s="5">
        <v>10016668</v>
      </c>
      <c r="G18" t="s">
        <v>75</v>
      </c>
      <c r="H18" t="s">
        <v>67</v>
      </c>
      <c r="I18" t="s">
        <v>79</v>
      </c>
      <c r="J18">
        <v>4</v>
      </c>
      <c r="K18" t="s">
        <v>54</v>
      </c>
      <c r="L18" t="s">
        <v>98</v>
      </c>
      <c r="M18" s="7" t="s">
        <v>99</v>
      </c>
      <c r="N18" t="s">
        <v>74</v>
      </c>
      <c r="O18" t="s">
        <v>42</v>
      </c>
      <c r="P18" t="s">
        <v>50</v>
      </c>
      <c r="Q18" t="str">
        <f t="shared" si="0"/>
        <v>Media</v>
      </c>
      <c r="R18" t="str">
        <f t="shared" si="1"/>
        <v>No</v>
      </c>
    </row>
    <row r="19" spans="1:18" x14ac:dyDescent="0.35">
      <c r="A19">
        <v>18</v>
      </c>
      <c r="B19" t="s">
        <v>59</v>
      </c>
      <c r="C19" s="9" t="s">
        <v>69</v>
      </c>
      <c r="D19">
        <v>2015</v>
      </c>
      <c r="E19" s="11">
        <v>104744</v>
      </c>
      <c r="F19" s="5">
        <v>21377222</v>
      </c>
      <c r="G19" t="s">
        <v>35</v>
      </c>
      <c r="H19" t="s">
        <v>36</v>
      </c>
      <c r="I19" t="s">
        <v>47</v>
      </c>
      <c r="J19">
        <v>3</v>
      </c>
      <c r="K19" t="s">
        <v>38</v>
      </c>
      <c r="L19" t="s">
        <v>39</v>
      </c>
      <c r="M19" s="7" t="s">
        <v>100</v>
      </c>
      <c r="N19" t="s">
        <v>41</v>
      </c>
      <c r="O19" t="s">
        <v>42</v>
      </c>
      <c r="P19" t="s">
        <v>43</v>
      </c>
      <c r="Q19" t="str">
        <f t="shared" si="0"/>
        <v>Alta</v>
      </c>
      <c r="R19" t="str">
        <f t="shared" si="1"/>
        <v>No</v>
      </c>
    </row>
    <row r="20" spans="1:18" x14ac:dyDescent="0.35">
      <c r="A20">
        <v>19</v>
      </c>
      <c r="B20" t="s">
        <v>51</v>
      </c>
      <c r="C20" s="9" t="s">
        <v>101</v>
      </c>
      <c r="D20">
        <v>2022</v>
      </c>
      <c r="E20" s="11">
        <v>91450</v>
      </c>
      <c r="F20" s="5">
        <v>8057917</v>
      </c>
      <c r="G20" t="s">
        <v>35</v>
      </c>
      <c r="H20" t="s">
        <v>36</v>
      </c>
      <c r="I20" t="s">
        <v>37</v>
      </c>
      <c r="J20">
        <v>3</v>
      </c>
      <c r="K20" t="s">
        <v>38</v>
      </c>
      <c r="L20" t="s">
        <v>39</v>
      </c>
      <c r="M20" s="7" t="s">
        <v>102</v>
      </c>
      <c r="N20" t="s">
        <v>74</v>
      </c>
      <c r="O20" t="s">
        <v>58</v>
      </c>
      <c r="P20" t="s">
        <v>50</v>
      </c>
      <c r="Q20" t="str">
        <f t="shared" si="0"/>
        <v>Media</v>
      </c>
      <c r="R20" t="str">
        <f t="shared" si="1"/>
        <v>Sí</v>
      </c>
    </row>
    <row r="21" spans="1:18" x14ac:dyDescent="0.35">
      <c r="A21">
        <v>20</v>
      </c>
      <c r="B21" t="s">
        <v>88</v>
      </c>
      <c r="C21" s="9" t="s">
        <v>89</v>
      </c>
      <c r="D21">
        <v>2019</v>
      </c>
      <c r="E21" s="11">
        <v>141731</v>
      </c>
      <c r="F21" s="5">
        <v>18938963</v>
      </c>
      <c r="G21" t="s">
        <v>46</v>
      </c>
      <c r="H21" t="s">
        <v>67</v>
      </c>
      <c r="I21" t="s">
        <v>79</v>
      </c>
      <c r="J21">
        <v>3</v>
      </c>
      <c r="K21" t="s">
        <v>38</v>
      </c>
      <c r="L21" t="s">
        <v>98</v>
      </c>
      <c r="M21" s="7" t="s">
        <v>103</v>
      </c>
      <c r="N21" t="s">
        <v>57</v>
      </c>
      <c r="O21" t="s">
        <v>58</v>
      </c>
      <c r="P21" t="s">
        <v>43</v>
      </c>
      <c r="Q21" t="str">
        <f t="shared" si="0"/>
        <v>Media</v>
      </c>
      <c r="R21" t="str">
        <f t="shared" si="1"/>
        <v>Sí</v>
      </c>
    </row>
    <row r="22" spans="1:18" x14ac:dyDescent="0.35">
      <c r="A22">
        <v>21</v>
      </c>
      <c r="B22" t="s">
        <v>33</v>
      </c>
      <c r="C22" s="9" t="s">
        <v>34</v>
      </c>
      <c r="D22">
        <v>2018</v>
      </c>
      <c r="E22" s="11">
        <v>140300</v>
      </c>
      <c r="F22" s="5">
        <v>4392397</v>
      </c>
      <c r="G22" t="s">
        <v>35</v>
      </c>
      <c r="H22" t="s">
        <v>36</v>
      </c>
      <c r="I22" t="s">
        <v>37</v>
      </c>
      <c r="J22">
        <v>3</v>
      </c>
      <c r="K22" t="s">
        <v>38</v>
      </c>
      <c r="L22" t="s">
        <v>39</v>
      </c>
      <c r="M22" s="7" t="s">
        <v>40</v>
      </c>
      <c r="N22" t="s">
        <v>41</v>
      </c>
      <c r="O22" t="s">
        <v>42</v>
      </c>
      <c r="P22" t="s">
        <v>43</v>
      </c>
      <c r="Q22" t="str">
        <f t="shared" si="0"/>
        <v>Media</v>
      </c>
      <c r="R22" t="str">
        <f t="shared" si="1"/>
        <v>No</v>
      </c>
    </row>
    <row r="23" spans="1:18" x14ac:dyDescent="0.35">
      <c r="A23">
        <v>22</v>
      </c>
      <c r="B23" t="s">
        <v>44</v>
      </c>
      <c r="C23" s="9" t="s">
        <v>45</v>
      </c>
      <c r="D23">
        <v>2016</v>
      </c>
      <c r="E23" s="11">
        <v>44429</v>
      </c>
      <c r="F23" s="5">
        <v>15550583</v>
      </c>
      <c r="G23" t="s">
        <v>46</v>
      </c>
      <c r="H23" t="s">
        <v>36</v>
      </c>
      <c r="I23" t="s">
        <v>47</v>
      </c>
      <c r="J23">
        <v>5</v>
      </c>
      <c r="K23" t="s">
        <v>38</v>
      </c>
      <c r="L23" t="s">
        <v>48</v>
      </c>
      <c r="M23" s="7" t="s">
        <v>49</v>
      </c>
      <c r="N23" t="s">
        <v>41</v>
      </c>
      <c r="O23" t="s">
        <v>42</v>
      </c>
      <c r="P23" t="s">
        <v>50</v>
      </c>
      <c r="Q23" t="str">
        <f t="shared" si="0"/>
        <v>Media</v>
      </c>
      <c r="R23" t="str">
        <f t="shared" si="1"/>
        <v>No</v>
      </c>
    </row>
    <row r="24" spans="1:18" x14ac:dyDescent="0.35">
      <c r="A24">
        <v>23</v>
      </c>
      <c r="B24" t="s">
        <v>51</v>
      </c>
      <c r="C24" s="9" t="s">
        <v>52</v>
      </c>
      <c r="D24">
        <v>2020</v>
      </c>
      <c r="E24" s="11">
        <v>118020</v>
      </c>
      <c r="F24" s="5">
        <v>18134749</v>
      </c>
      <c r="G24" t="s">
        <v>46</v>
      </c>
      <c r="H24" t="s">
        <v>36</v>
      </c>
      <c r="I24" t="s">
        <v>53</v>
      </c>
      <c r="J24">
        <v>3</v>
      </c>
      <c r="K24" t="s">
        <v>54</v>
      </c>
      <c r="L24" t="s">
        <v>55</v>
      </c>
      <c r="M24" s="7" t="s">
        <v>56</v>
      </c>
      <c r="N24" t="s">
        <v>57</v>
      </c>
      <c r="O24" t="s">
        <v>58</v>
      </c>
      <c r="P24" t="s">
        <v>43</v>
      </c>
      <c r="Q24" t="str">
        <f t="shared" si="0"/>
        <v>Media</v>
      </c>
      <c r="R24" t="str">
        <f t="shared" si="1"/>
        <v>Sí</v>
      </c>
    </row>
    <row r="25" spans="1:18" x14ac:dyDescent="0.35">
      <c r="A25">
        <v>24</v>
      </c>
      <c r="B25" t="s">
        <v>59</v>
      </c>
      <c r="C25" s="9" t="s">
        <v>60</v>
      </c>
      <c r="D25">
        <v>2017</v>
      </c>
      <c r="E25" s="11">
        <v>28856</v>
      </c>
      <c r="F25" s="5">
        <v>21316848</v>
      </c>
      <c r="G25" t="s">
        <v>35</v>
      </c>
      <c r="H25" t="s">
        <v>36</v>
      </c>
      <c r="I25" t="s">
        <v>61</v>
      </c>
      <c r="J25">
        <v>5</v>
      </c>
      <c r="K25" t="s">
        <v>62</v>
      </c>
      <c r="L25" t="s">
        <v>63</v>
      </c>
      <c r="M25" s="7" t="s">
        <v>64</v>
      </c>
      <c r="N25" t="s">
        <v>57</v>
      </c>
      <c r="O25" t="s">
        <v>42</v>
      </c>
      <c r="P25" t="s">
        <v>43</v>
      </c>
      <c r="Q25" t="str">
        <f t="shared" si="0"/>
        <v>Alta</v>
      </c>
      <c r="R25" t="str">
        <f t="shared" si="1"/>
        <v>No</v>
      </c>
    </row>
    <row r="26" spans="1:18" x14ac:dyDescent="0.35">
      <c r="A26">
        <v>25</v>
      </c>
      <c r="B26" t="s">
        <v>65</v>
      </c>
      <c r="C26" s="9" t="s">
        <v>66</v>
      </c>
      <c r="D26">
        <v>2017</v>
      </c>
      <c r="E26" s="11">
        <v>137684</v>
      </c>
      <c r="F26" s="5">
        <v>22243508</v>
      </c>
      <c r="G26" t="s">
        <v>46</v>
      </c>
      <c r="H26" t="s">
        <v>67</v>
      </c>
      <c r="I26" t="s">
        <v>37</v>
      </c>
      <c r="J26">
        <v>4</v>
      </c>
      <c r="K26" t="s">
        <v>62</v>
      </c>
      <c r="L26" t="s">
        <v>48</v>
      </c>
      <c r="M26" s="7" t="s">
        <v>68</v>
      </c>
      <c r="N26" t="s">
        <v>41</v>
      </c>
      <c r="O26" t="s">
        <v>58</v>
      </c>
      <c r="P26" t="s">
        <v>50</v>
      </c>
      <c r="Q26" t="str">
        <f t="shared" si="0"/>
        <v>Alta</v>
      </c>
      <c r="R26" t="str">
        <f t="shared" si="1"/>
        <v>Sí</v>
      </c>
    </row>
    <row r="27" spans="1:18" x14ac:dyDescent="0.35">
      <c r="A27">
        <v>26</v>
      </c>
      <c r="B27" t="s">
        <v>59</v>
      </c>
      <c r="C27" s="9" t="s">
        <v>69</v>
      </c>
      <c r="D27">
        <v>2022</v>
      </c>
      <c r="E27" s="11">
        <v>25965</v>
      </c>
      <c r="F27" s="5">
        <v>7701714</v>
      </c>
      <c r="G27" t="s">
        <v>35</v>
      </c>
      <c r="H27" t="s">
        <v>67</v>
      </c>
      <c r="I27" t="s">
        <v>61</v>
      </c>
      <c r="J27">
        <v>3</v>
      </c>
      <c r="K27" t="s">
        <v>54</v>
      </c>
      <c r="L27" t="s">
        <v>48</v>
      </c>
      <c r="M27" s="7" t="s">
        <v>70</v>
      </c>
      <c r="N27" t="s">
        <v>57</v>
      </c>
      <c r="O27" t="s">
        <v>58</v>
      </c>
      <c r="P27" t="s">
        <v>43</v>
      </c>
      <c r="Q27" t="str">
        <f t="shared" si="0"/>
        <v>Media</v>
      </c>
      <c r="R27" t="str">
        <f t="shared" si="1"/>
        <v>Sí</v>
      </c>
    </row>
    <row r="28" spans="1:18" x14ac:dyDescent="0.35">
      <c r="A28">
        <v>27</v>
      </c>
      <c r="B28" t="s">
        <v>71</v>
      </c>
      <c r="C28" s="9" t="s">
        <v>72</v>
      </c>
      <c r="D28">
        <v>2017</v>
      </c>
      <c r="E28" s="11">
        <v>44801</v>
      </c>
      <c r="F28" s="5">
        <v>13727866</v>
      </c>
      <c r="G28" t="s">
        <v>35</v>
      </c>
      <c r="H28" t="s">
        <v>36</v>
      </c>
      <c r="I28" t="s">
        <v>47</v>
      </c>
      <c r="J28">
        <v>5</v>
      </c>
      <c r="K28" t="s">
        <v>54</v>
      </c>
      <c r="L28" t="s">
        <v>48</v>
      </c>
      <c r="M28" s="7" t="s">
        <v>73</v>
      </c>
      <c r="N28" t="s">
        <v>74</v>
      </c>
      <c r="O28" t="s">
        <v>58</v>
      </c>
      <c r="P28" t="s">
        <v>50</v>
      </c>
      <c r="Q28" t="str">
        <f t="shared" si="0"/>
        <v>Media</v>
      </c>
      <c r="R28" t="str">
        <f t="shared" si="1"/>
        <v>Sí</v>
      </c>
    </row>
    <row r="29" spans="1:18" x14ac:dyDescent="0.35">
      <c r="A29">
        <v>28</v>
      </c>
      <c r="B29" t="s">
        <v>59</v>
      </c>
      <c r="C29" s="9" t="s">
        <v>60</v>
      </c>
      <c r="D29">
        <v>2015</v>
      </c>
      <c r="E29" s="11">
        <v>125599</v>
      </c>
      <c r="F29" s="5">
        <v>19200946</v>
      </c>
      <c r="G29" t="s">
        <v>75</v>
      </c>
      <c r="H29" t="s">
        <v>67</v>
      </c>
      <c r="I29" t="s">
        <v>53</v>
      </c>
      <c r="J29">
        <v>3</v>
      </c>
      <c r="K29" t="s">
        <v>76</v>
      </c>
      <c r="L29" t="s">
        <v>63</v>
      </c>
      <c r="M29" s="7" t="s">
        <v>77</v>
      </c>
      <c r="N29" t="s">
        <v>57</v>
      </c>
      <c r="O29" t="s">
        <v>42</v>
      </c>
      <c r="P29" t="s">
        <v>50</v>
      </c>
      <c r="Q29" t="str">
        <f t="shared" si="0"/>
        <v>Media</v>
      </c>
      <c r="R29" t="str">
        <f t="shared" si="1"/>
        <v>No</v>
      </c>
    </row>
    <row r="30" spans="1:18" x14ac:dyDescent="0.35">
      <c r="A30">
        <v>29</v>
      </c>
      <c r="B30" t="s">
        <v>51</v>
      </c>
      <c r="C30" s="9" t="s">
        <v>78</v>
      </c>
      <c r="D30">
        <v>2021</v>
      </c>
      <c r="E30" s="11">
        <v>70467</v>
      </c>
      <c r="F30" s="5">
        <v>21908286</v>
      </c>
      <c r="G30" t="s">
        <v>46</v>
      </c>
      <c r="H30" t="s">
        <v>67</v>
      </c>
      <c r="I30" t="s">
        <v>79</v>
      </c>
      <c r="J30">
        <v>3</v>
      </c>
      <c r="K30" t="s">
        <v>38</v>
      </c>
      <c r="L30" t="s">
        <v>39</v>
      </c>
      <c r="M30" s="7" t="s">
        <v>80</v>
      </c>
      <c r="N30" t="s">
        <v>74</v>
      </c>
      <c r="O30" t="s">
        <v>58</v>
      </c>
      <c r="P30" t="s">
        <v>43</v>
      </c>
      <c r="Q30" t="str">
        <f t="shared" si="0"/>
        <v>Alta</v>
      </c>
      <c r="R30" t="str">
        <f t="shared" si="1"/>
        <v>Sí</v>
      </c>
    </row>
    <row r="31" spans="1:18" x14ac:dyDescent="0.35">
      <c r="A31">
        <v>30</v>
      </c>
      <c r="B31" t="s">
        <v>81</v>
      </c>
      <c r="C31" s="9" t="s">
        <v>82</v>
      </c>
      <c r="D31">
        <v>2017</v>
      </c>
      <c r="E31" s="11">
        <v>52055</v>
      </c>
      <c r="F31" s="5">
        <v>23237584</v>
      </c>
      <c r="G31" t="s">
        <v>35</v>
      </c>
      <c r="H31" t="s">
        <v>67</v>
      </c>
      <c r="I31" t="s">
        <v>47</v>
      </c>
      <c r="J31">
        <v>5</v>
      </c>
      <c r="K31" t="s">
        <v>62</v>
      </c>
      <c r="L31" t="s">
        <v>55</v>
      </c>
      <c r="M31" s="7" t="s">
        <v>83</v>
      </c>
      <c r="N31" t="s">
        <v>41</v>
      </c>
      <c r="O31" t="s">
        <v>58</v>
      </c>
      <c r="P31" t="s">
        <v>43</v>
      </c>
      <c r="Q31" t="str">
        <f t="shared" si="0"/>
        <v>Alta</v>
      </c>
      <c r="R31" t="str">
        <f t="shared" si="1"/>
        <v>Sí</v>
      </c>
    </row>
    <row r="32" spans="1:18" x14ac:dyDescent="0.35">
      <c r="A32">
        <v>31</v>
      </c>
      <c r="B32" t="s">
        <v>65</v>
      </c>
      <c r="C32" s="9" t="s">
        <v>84</v>
      </c>
      <c r="D32">
        <v>2023</v>
      </c>
      <c r="E32" s="11">
        <v>82137</v>
      </c>
      <c r="F32" s="5">
        <v>23025850</v>
      </c>
      <c r="G32" t="s">
        <v>75</v>
      </c>
      <c r="H32" t="s">
        <v>67</v>
      </c>
      <c r="I32" t="s">
        <v>53</v>
      </c>
      <c r="J32">
        <v>3</v>
      </c>
      <c r="K32" t="s">
        <v>38</v>
      </c>
      <c r="L32" t="s">
        <v>63</v>
      </c>
      <c r="M32" s="7" t="s">
        <v>85</v>
      </c>
      <c r="N32" t="s">
        <v>74</v>
      </c>
      <c r="O32" t="s">
        <v>58</v>
      </c>
      <c r="P32" t="s">
        <v>50</v>
      </c>
      <c r="Q32" t="str">
        <f t="shared" si="0"/>
        <v>Alta</v>
      </c>
      <c r="R32" t="str">
        <f t="shared" si="1"/>
        <v>Sí</v>
      </c>
    </row>
    <row r="33" spans="1:18" x14ac:dyDescent="0.35">
      <c r="A33">
        <v>32</v>
      </c>
      <c r="B33" t="s">
        <v>71</v>
      </c>
      <c r="C33" s="9" t="s">
        <v>86</v>
      </c>
      <c r="D33">
        <v>2015</v>
      </c>
      <c r="E33" s="11">
        <v>77417</v>
      </c>
      <c r="F33" s="5">
        <v>20319193</v>
      </c>
      <c r="G33" t="s">
        <v>75</v>
      </c>
      <c r="H33" t="s">
        <v>36</v>
      </c>
      <c r="I33" t="s">
        <v>47</v>
      </c>
      <c r="J33">
        <v>3</v>
      </c>
      <c r="K33" t="s">
        <v>62</v>
      </c>
      <c r="L33" t="s">
        <v>48</v>
      </c>
      <c r="M33" s="7" t="s">
        <v>87</v>
      </c>
      <c r="N33" t="s">
        <v>74</v>
      </c>
      <c r="O33" t="s">
        <v>58</v>
      </c>
      <c r="P33" t="s">
        <v>50</v>
      </c>
      <c r="Q33" t="str">
        <f t="shared" si="0"/>
        <v>Alta</v>
      </c>
      <c r="R33" t="str">
        <f t="shared" si="1"/>
        <v>Sí</v>
      </c>
    </row>
    <row r="34" spans="1:18" x14ac:dyDescent="0.35">
      <c r="A34">
        <v>33</v>
      </c>
      <c r="B34" t="s">
        <v>88</v>
      </c>
      <c r="C34" s="9" t="s">
        <v>89</v>
      </c>
      <c r="D34">
        <v>2023</v>
      </c>
      <c r="E34" s="11">
        <v>28861</v>
      </c>
      <c r="F34" s="5">
        <v>4532832</v>
      </c>
      <c r="G34" t="s">
        <v>46</v>
      </c>
      <c r="H34" t="s">
        <v>67</v>
      </c>
      <c r="I34" t="s">
        <v>47</v>
      </c>
      <c r="J34">
        <v>5</v>
      </c>
      <c r="K34" t="s">
        <v>54</v>
      </c>
      <c r="L34" t="s">
        <v>48</v>
      </c>
      <c r="M34" s="7" t="s">
        <v>90</v>
      </c>
      <c r="N34" t="s">
        <v>41</v>
      </c>
      <c r="O34" t="s">
        <v>58</v>
      </c>
      <c r="P34" t="s">
        <v>43</v>
      </c>
      <c r="Q34" t="str">
        <f t="shared" si="0"/>
        <v>Media</v>
      </c>
      <c r="R34" t="str">
        <f t="shared" si="1"/>
        <v>Sí</v>
      </c>
    </row>
    <row r="35" spans="1:18" x14ac:dyDescent="0.35">
      <c r="A35">
        <v>34</v>
      </c>
      <c r="B35" t="s">
        <v>65</v>
      </c>
      <c r="C35" s="9" t="s">
        <v>91</v>
      </c>
      <c r="D35">
        <v>2022</v>
      </c>
      <c r="E35" s="11">
        <v>27118</v>
      </c>
      <c r="F35" s="5">
        <v>8258517</v>
      </c>
      <c r="G35" t="s">
        <v>46</v>
      </c>
      <c r="H35" t="s">
        <v>36</v>
      </c>
      <c r="I35" t="s">
        <v>53</v>
      </c>
      <c r="J35">
        <v>4</v>
      </c>
      <c r="K35" t="s">
        <v>54</v>
      </c>
      <c r="L35" t="s">
        <v>39</v>
      </c>
      <c r="M35" s="7" t="s">
        <v>92</v>
      </c>
      <c r="N35" t="s">
        <v>74</v>
      </c>
      <c r="O35" t="s">
        <v>42</v>
      </c>
      <c r="P35" t="s">
        <v>50</v>
      </c>
      <c r="Q35" t="str">
        <f t="shared" si="0"/>
        <v>Media</v>
      </c>
      <c r="R35" t="str">
        <f t="shared" si="1"/>
        <v>No</v>
      </c>
    </row>
    <row r="36" spans="1:18" x14ac:dyDescent="0.35">
      <c r="A36">
        <v>35</v>
      </c>
      <c r="B36" t="s">
        <v>44</v>
      </c>
      <c r="C36" s="9" t="s">
        <v>93</v>
      </c>
      <c r="D36">
        <v>2019</v>
      </c>
      <c r="E36" s="11">
        <v>23581</v>
      </c>
      <c r="F36" s="5">
        <v>18526043</v>
      </c>
      <c r="G36" t="s">
        <v>46</v>
      </c>
      <c r="H36" t="s">
        <v>67</v>
      </c>
      <c r="I36" t="s">
        <v>47</v>
      </c>
      <c r="J36">
        <v>5</v>
      </c>
      <c r="K36" t="s">
        <v>54</v>
      </c>
      <c r="L36" t="s">
        <v>55</v>
      </c>
      <c r="M36" s="7" t="s">
        <v>94</v>
      </c>
      <c r="N36" t="s">
        <v>41</v>
      </c>
      <c r="O36" t="s">
        <v>58</v>
      </c>
      <c r="P36" t="s">
        <v>50</v>
      </c>
      <c r="Q36" t="str">
        <f t="shared" si="0"/>
        <v>Media</v>
      </c>
      <c r="R36" t="str">
        <f t="shared" si="1"/>
        <v>Sí</v>
      </c>
    </row>
    <row r="37" spans="1:18" x14ac:dyDescent="0.35">
      <c r="A37">
        <v>36</v>
      </c>
      <c r="B37" t="s">
        <v>44</v>
      </c>
      <c r="C37" s="9" t="s">
        <v>45</v>
      </c>
      <c r="D37">
        <v>2019</v>
      </c>
      <c r="E37" s="11">
        <v>94325</v>
      </c>
      <c r="F37" s="5">
        <v>21895688</v>
      </c>
      <c r="G37" t="s">
        <v>35</v>
      </c>
      <c r="H37" t="s">
        <v>67</v>
      </c>
      <c r="I37" t="s">
        <v>47</v>
      </c>
      <c r="J37">
        <v>5</v>
      </c>
      <c r="K37" t="s">
        <v>62</v>
      </c>
      <c r="L37" t="s">
        <v>39</v>
      </c>
      <c r="M37" s="7" t="s">
        <v>95</v>
      </c>
      <c r="N37" t="s">
        <v>57</v>
      </c>
      <c r="O37" t="s">
        <v>58</v>
      </c>
      <c r="P37" t="s">
        <v>43</v>
      </c>
      <c r="Q37" t="str">
        <f t="shared" si="0"/>
        <v>Alta</v>
      </c>
      <c r="R37" t="str">
        <f t="shared" si="1"/>
        <v>Sí</v>
      </c>
    </row>
    <row r="38" spans="1:18" x14ac:dyDescent="0.35">
      <c r="A38">
        <v>37</v>
      </c>
      <c r="B38" t="s">
        <v>96</v>
      </c>
      <c r="C38" s="9" t="s">
        <v>97</v>
      </c>
      <c r="D38">
        <v>2017</v>
      </c>
      <c r="E38" s="11">
        <v>137001</v>
      </c>
      <c r="F38" s="5">
        <v>10016668</v>
      </c>
      <c r="G38" t="s">
        <v>75</v>
      </c>
      <c r="H38" t="s">
        <v>67</v>
      </c>
      <c r="I38" t="s">
        <v>79</v>
      </c>
      <c r="J38">
        <v>4</v>
      </c>
      <c r="K38" t="s">
        <v>54</v>
      </c>
      <c r="L38" t="s">
        <v>98</v>
      </c>
      <c r="M38" s="7" t="s">
        <v>99</v>
      </c>
      <c r="N38" t="s">
        <v>74</v>
      </c>
      <c r="O38" t="s">
        <v>42</v>
      </c>
      <c r="P38" t="s">
        <v>50</v>
      </c>
      <c r="Q38" t="str">
        <f t="shared" si="0"/>
        <v>Media</v>
      </c>
      <c r="R38" t="str">
        <f t="shared" si="1"/>
        <v>No</v>
      </c>
    </row>
    <row r="39" spans="1:18" x14ac:dyDescent="0.35">
      <c r="A39">
        <v>38</v>
      </c>
      <c r="B39" t="s">
        <v>59</v>
      </c>
      <c r="C39" s="9" t="s">
        <v>69</v>
      </c>
      <c r="D39">
        <v>2015</v>
      </c>
      <c r="E39" s="11">
        <v>104744</v>
      </c>
      <c r="F39" s="5">
        <v>21377222</v>
      </c>
      <c r="G39" t="s">
        <v>35</v>
      </c>
      <c r="H39" t="s">
        <v>36</v>
      </c>
      <c r="I39" t="s">
        <v>47</v>
      </c>
      <c r="J39">
        <v>3</v>
      </c>
      <c r="K39" t="s">
        <v>38</v>
      </c>
      <c r="L39" t="s">
        <v>39</v>
      </c>
      <c r="M39" s="7" t="s">
        <v>100</v>
      </c>
      <c r="N39" t="s">
        <v>41</v>
      </c>
      <c r="O39" t="s">
        <v>42</v>
      </c>
      <c r="P39" t="s">
        <v>43</v>
      </c>
      <c r="Q39" t="str">
        <f t="shared" si="0"/>
        <v>Alta</v>
      </c>
      <c r="R39" t="str">
        <f t="shared" si="1"/>
        <v>No</v>
      </c>
    </row>
    <row r="40" spans="1:18" x14ac:dyDescent="0.35">
      <c r="A40">
        <v>39</v>
      </c>
      <c r="B40" t="s">
        <v>51</v>
      </c>
      <c r="C40" s="9" t="s">
        <v>101</v>
      </c>
      <c r="D40">
        <v>2022</v>
      </c>
      <c r="E40" s="11">
        <v>91450</v>
      </c>
      <c r="F40" s="5">
        <v>8057917</v>
      </c>
      <c r="G40" t="s">
        <v>35</v>
      </c>
      <c r="H40" t="s">
        <v>36</v>
      </c>
      <c r="I40" t="s">
        <v>37</v>
      </c>
      <c r="J40">
        <v>3</v>
      </c>
      <c r="K40" t="s">
        <v>38</v>
      </c>
      <c r="L40" t="s">
        <v>39</v>
      </c>
      <c r="M40" s="7" t="s">
        <v>102</v>
      </c>
      <c r="N40" t="s">
        <v>74</v>
      </c>
      <c r="O40" t="s">
        <v>58</v>
      </c>
      <c r="P40" t="s">
        <v>50</v>
      </c>
      <c r="Q40" t="str">
        <f t="shared" si="0"/>
        <v>Media</v>
      </c>
      <c r="R40" t="str">
        <f t="shared" si="1"/>
        <v>Sí</v>
      </c>
    </row>
    <row r="41" spans="1:18" x14ac:dyDescent="0.35">
      <c r="A41">
        <v>40</v>
      </c>
      <c r="B41" t="s">
        <v>88</v>
      </c>
      <c r="C41" s="9" t="s">
        <v>89</v>
      </c>
      <c r="D41">
        <v>2019</v>
      </c>
      <c r="E41" s="11">
        <v>141731</v>
      </c>
      <c r="F41" s="5">
        <v>18938963</v>
      </c>
      <c r="G41" t="s">
        <v>46</v>
      </c>
      <c r="H41" t="s">
        <v>67</v>
      </c>
      <c r="I41" t="s">
        <v>79</v>
      </c>
      <c r="J41">
        <v>3</v>
      </c>
      <c r="K41" t="s">
        <v>38</v>
      </c>
      <c r="L41" t="s">
        <v>98</v>
      </c>
      <c r="M41" s="7" t="s">
        <v>103</v>
      </c>
      <c r="N41" t="s">
        <v>57</v>
      </c>
      <c r="O41" t="s">
        <v>58</v>
      </c>
      <c r="P41" t="s">
        <v>43</v>
      </c>
      <c r="Q41" t="str">
        <f t="shared" si="0"/>
        <v>Media</v>
      </c>
      <c r="R41" t="str">
        <f t="shared" si="1"/>
        <v>Sí</v>
      </c>
    </row>
  </sheetData>
  <dataValidations count="6">
    <dataValidation type="list" allowBlank="1" showInputMessage="1" showErrorMessage="1" sqref="G1:G1048576" xr:uid="{00000000-0002-0000-0100-000000000000}">
      <formula1>"Nafta, Diésel, Híbrido"</formula1>
    </dataValidation>
    <dataValidation type="list" errorStyle="information" allowBlank="1" showInputMessage="1" showErrorMessage="1" errorTitle="Valor no válido" error="Solo podés elegir una opción de la lista." sqref="N1:N1048576" xr:uid="{00000000-0002-0000-0100-000001000000}">
      <formula1>"Usado, Seminuevo, Excelente"</formula1>
    </dataValidation>
    <dataValidation type="list" allowBlank="1" showInputMessage="1" showErrorMessage="1" sqref="P1:P1048576" xr:uid="{00000000-0002-0000-0100-000002000000}">
      <formula1>"Sí, No"</formula1>
    </dataValidation>
    <dataValidation type="list" errorStyle="information" allowBlank="1" showInputMessage="1" showErrorMessage="1" errorTitle="Valor no válido" error="Solo podés elegir una opción de la lista." sqref="O1:O1048576" xr:uid="{00000000-0002-0000-0100-000003000000}">
      <formula1>"Importado, Nacional"</formula1>
    </dataValidation>
    <dataValidation type="whole" allowBlank="1" showInputMessage="1" showErrorMessage="1" sqref="J1:J1048576" xr:uid="{00000000-0002-0000-0100-000004000000}">
      <formula1>3</formula1>
      <formula2>4</formula2>
    </dataValidation>
    <dataValidation type="list" allowBlank="1" showInputMessage="1" showErrorMessage="1" sqref="H1:H1048576" xr:uid="{00000000-0002-0000-0100-000005000000}">
      <formula1>"Automática, Manual"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showGridLines="0" zoomScale="75" zoomScaleNormal="75" workbookViewId="0">
      <selection activeCell="F4" sqref="F4:F13"/>
    </sheetView>
  </sheetViews>
  <sheetFormatPr baseColWidth="10" defaultRowHeight="14.5" x14ac:dyDescent="0.35"/>
  <cols>
    <col min="1" max="1" width="19.453125" customWidth="1"/>
    <col min="2" max="2" width="20.453125" customWidth="1"/>
    <col min="3" max="3" width="20.90625" style="5" customWidth="1"/>
    <col min="4" max="4" width="18.26953125" customWidth="1"/>
    <col min="5" max="5" width="19.453125" customWidth="1"/>
    <col min="6" max="6" width="21.26953125" customWidth="1"/>
    <col min="7" max="7" width="20.08984375" bestFit="1" customWidth="1"/>
  </cols>
  <sheetData>
    <row r="1" spans="1:6" ht="15.5" x14ac:dyDescent="0.35">
      <c r="A1" s="26" t="s">
        <v>116</v>
      </c>
      <c r="B1" s="26"/>
      <c r="C1" s="26"/>
      <c r="E1" s="26" t="s">
        <v>118</v>
      </c>
      <c r="F1" s="26"/>
    </row>
    <row r="2" spans="1:6" x14ac:dyDescent="0.35">
      <c r="A2" s="27" t="s">
        <v>117</v>
      </c>
      <c r="B2" s="27"/>
      <c r="C2" s="27"/>
      <c r="E2" s="27" t="s">
        <v>119</v>
      </c>
      <c r="F2" s="27"/>
    </row>
    <row r="3" spans="1:6" x14ac:dyDescent="0.35">
      <c r="A3" s="12"/>
      <c r="B3" s="12"/>
      <c r="C3" s="13"/>
    </row>
    <row r="4" spans="1:6" x14ac:dyDescent="0.35">
      <c r="A4" s="14" t="s">
        <v>16</v>
      </c>
      <c r="B4" s="14" t="s">
        <v>104</v>
      </c>
      <c r="F4" s="15" t="s">
        <v>105</v>
      </c>
    </row>
    <row r="5" spans="1:6" x14ac:dyDescent="0.35">
      <c r="A5" s="16" t="s">
        <v>33</v>
      </c>
      <c r="B5" s="16">
        <f>COUNTIF(Data_autos!B:B, A5)</f>
        <v>2</v>
      </c>
      <c r="F5" s="17">
        <f>AVERAGEIF(Data_autos!B:B, A5, Data_autos!F:F)</f>
        <v>4392397</v>
      </c>
    </row>
    <row r="6" spans="1:6" x14ac:dyDescent="0.35">
      <c r="A6" s="16" t="s">
        <v>44</v>
      </c>
      <c r="B6" s="16">
        <f>COUNTIF(Data_autos!B:B, A6)</f>
        <v>6</v>
      </c>
      <c r="F6" s="17">
        <f>AVERAGEIF(Data_autos!B:B, A6, Data_autos!F:F)</f>
        <v>18657438</v>
      </c>
    </row>
    <row r="7" spans="1:6" x14ac:dyDescent="0.35">
      <c r="A7" s="16" t="s">
        <v>51</v>
      </c>
      <c r="B7" s="16">
        <f>COUNTIF(Data_autos!B:B, A7)</f>
        <v>6</v>
      </c>
      <c r="F7" s="17">
        <f>AVERAGEIF(Data_autos!B:B, A7, Data_autos!F:F)</f>
        <v>16033650.666666666</v>
      </c>
    </row>
    <row r="8" spans="1:6" x14ac:dyDescent="0.35">
      <c r="A8" s="16" t="s">
        <v>59</v>
      </c>
      <c r="B8" s="16">
        <f>COUNTIF(Data_autos!B:B, A8)</f>
        <v>8</v>
      </c>
      <c r="F8" s="17">
        <f>AVERAGEIF(Data_autos!B:B, A8, Data_autos!F:F)</f>
        <v>17399182.5</v>
      </c>
    </row>
    <row r="9" spans="1:6" x14ac:dyDescent="0.35">
      <c r="A9" s="16" t="s">
        <v>65</v>
      </c>
      <c r="B9" s="16">
        <f>COUNTIF(Data_autos!B:B, A9)</f>
        <v>6</v>
      </c>
      <c r="F9" s="17">
        <f>AVERAGEIF(Data_autos!B:B, A9, Data_autos!F:F)</f>
        <v>17842625</v>
      </c>
    </row>
    <row r="10" spans="1:6" x14ac:dyDescent="0.35">
      <c r="A10" s="16" t="s">
        <v>71</v>
      </c>
      <c r="B10" s="16">
        <f>COUNTIF(Data_autos!B:B, A10)</f>
        <v>4</v>
      </c>
      <c r="F10" s="17">
        <f>AVERAGEIF(Data_autos!B:B, A10, Data_autos!F:F)</f>
        <v>17023529.5</v>
      </c>
    </row>
    <row r="11" spans="1:6" x14ac:dyDescent="0.35">
      <c r="A11" s="16" t="s">
        <v>88</v>
      </c>
      <c r="B11" s="16">
        <f>COUNTIF(Data_autos!B:B, A11)</f>
        <v>4</v>
      </c>
      <c r="F11" s="17">
        <f>AVERAGEIF(Data_autos!B:B, A11, Data_autos!F:F)</f>
        <v>11735897.5</v>
      </c>
    </row>
    <row r="12" spans="1:6" x14ac:dyDescent="0.35">
      <c r="A12" s="16" t="s">
        <v>81</v>
      </c>
      <c r="B12" s="16">
        <f>COUNTIF(Data_autos!B:B, A12)</f>
        <v>2</v>
      </c>
      <c r="F12" s="17">
        <f>AVERAGEIF(Data_autos!B:B, A12, Data_autos!F:F)</f>
        <v>23237584</v>
      </c>
    </row>
    <row r="13" spans="1:6" x14ac:dyDescent="0.35">
      <c r="A13" s="16" t="s">
        <v>96</v>
      </c>
      <c r="B13" s="16">
        <f>COUNTIF(Data_autos!B:B, A13)</f>
        <v>2</v>
      </c>
      <c r="F13" s="17">
        <f>AVERAGEIF(Data_autos!B:B, A13, Data_autos!F:F)</f>
        <v>10016668</v>
      </c>
    </row>
    <row r="17" spans="1:6" ht="15.5" x14ac:dyDescent="0.35">
      <c r="A17" s="26" t="s">
        <v>124</v>
      </c>
      <c r="E17" s="26" t="s">
        <v>120</v>
      </c>
    </row>
    <row r="18" spans="1:6" x14ac:dyDescent="0.35">
      <c r="A18" s="27" t="s">
        <v>125</v>
      </c>
      <c r="E18" s="27" t="s">
        <v>121</v>
      </c>
    </row>
    <row r="19" spans="1:6" x14ac:dyDescent="0.35">
      <c r="A19" s="28" t="s">
        <v>26</v>
      </c>
      <c r="B19" s="28" t="s">
        <v>111</v>
      </c>
      <c r="E19" s="19" t="s">
        <v>126</v>
      </c>
      <c r="F19" s="20">
        <f>SUM(E21,E23)</f>
        <v>40</v>
      </c>
    </row>
    <row r="20" spans="1:6" x14ac:dyDescent="0.35">
      <c r="A20" s="29" t="s">
        <v>98</v>
      </c>
      <c r="B20" s="29">
        <f>COUNTIF(Data_autos!L:L,A20)</f>
        <v>4</v>
      </c>
      <c r="E20" s="18" t="s">
        <v>106</v>
      </c>
      <c r="F20" s="18" t="s">
        <v>107</v>
      </c>
    </row>
    <row r="21" spans="1:6" x14ac:dyDescent="0.35">
      <c r="A21" s="29" t="s">
        <v>55</v>
      </c>
      <c r="B21" s="29">
        <f>COUNTIF(Data_autos!L:L,A21)</f>
        <v>6</v>
      </c>
      <c r="E21" s="16">
        <f>COUNTIF(Data_autos!P:P,"Sí")</f>
        <v>20</v>
      </c>
      <c r="F21" s="21">
        <f>E21/F19</f>
        <v>0.5</v>
      </c>
    </row>
    <row r="22" spans="1:6" x14ac:dyDescent="0.35">
      <c r="A22" s="29" t="s">
        <v>39</v>
      </c>
      <c r="B22" s="29">
        <f>COUNTIF(Data_autos!L:L,A22)</f>
        <v>12</v>
      </c>
      <c r="E22" s="18" t="s">
        <v>108</v>
      </c>
      <c r="F22" s="18" t="s">
        <v>109</v>
      </c>
    </row>
    <row r="23" spans="1:6" x14ac:dyDescent="0.35">
      <c r="A23" s="29" t="s">
        <v>48</v>
      </c>
      <c r="B23" s="29">
        <f>COUNTIF(Data_autos!L:L,A23)</f>
        <v>12</v>
      </c>
      <c r="E23" s="16">
        <f>COUNTIF(Data_autos!P:P,"No")</f>
        <v>20</v>
      </c>
      <c r="F23" s="21">
        <f>E23/F19</f>
        <v>0.5</v>
      </c>
    </row>
    <row r="24" spans="1:6" x14ac:dyDescent="0.35">
      <c r="A24" s="29" t="s">
        <v>63</v>
      </c>
      <c r="B24" s="29">
        <f>COUNTIF(Data_autos!L:L,A24)</f>
        <v>6</v>
      </c>
      <c r="C24"/>
    </row>
    <row r="25" spans="1:6" x14ac:dyDescent="0.35">
      <c r="C25"/>
    </row>
    <row r="26" spans="1:6" x14ac:dyDescent="0.35">
      <c r="C26"/>
    </row>
    <row r="27" spans="1:6" x14ac:dyDescent="0.35">
      <c r="C27"/>
    </row>
    <row r="28" spans="1:6" x14ac:dyDescent="0.35">
      <c r="C28"/>
    </row>
    <row r="29" spans="1:6" ht="15.5" x14ac:dyDescent="0.35">
      <c r="A29" s="26" t="s">
        <v>122</v>
      </c>
      <c r="C29"/>
    </row>
    <row r="30" spans="1:6" x14ac:dyDescent="0.35">
      <c r="A30" s="27" t="s">
        <v>123</v>
      </c>
      <c r="C30"/>
    </row>
    <row r="31" spans="1:6" x14ac:dyDescent="0.35">
      <c r="A31" s="18" t="s">
        <v>110</v>
      </c>
      <c r="B31" s="30" t="s">
        <v>104</v>
      </c>
      <c r="C31" s="31" t="s">
        <v>105</v>
      </c>
    </row>
    <row r="32" spans="1:6" x14ac:dyDescent="0.35">
      <c r="A32" s="32" t="s">
        <v>46</v>
      </c>
      <c r="B32" s="16">
        <f>COUNTIF(Data_autos!G:G, A32)</f>
        <v>16</v>
      </c>
      <c r="C32" s="17">
        <f>AVERAGEIF(Data_autos!G:G, A32, Data_autos!F:F)</f>
        <v>16011685.125</v>
      </c>
    </row>
    <row r="33" spans="1:3" x14ac:dyDescent="0.35">
      <c r="A33" s="32" t="s">
        <v>75</v>
      </c>
      <c r="B33" s="16">
        <f>COUNTIF(Data_autos!G:G, A33)</f>
        <v>8</v>
      </c>
      <c r="C33" s="17">
        <f>AVERAGEIF(Data_autos!G:G, A33, Data_autos!F:F)</f>
        <v>18140664.25</v>
      </c>
    </row>
    <row r="34" spans="1:3" x14ac:dyDescent="0.35">
      <c r="A34" s="32" t="s">
        <v>35</v>
      </c>
      <c r="B34" s="16">
        <f>COUNTIF(Data_autos!G:G, A34)</f>
        <v>16</v>
      </c>
      <c r="C34" s="17">
        <f>AVERAGEIF(Data_autos!G:G, A34, Data_autos!F:F)</f>
        <v>15213404.5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4"/>
  <sheetViews>
    <sheetView showGridLines="0" tabSelected="1" topLeftCell="A7" zoomScale="51" workbookViewId="0">
      <selection activeCell="N33" sqref="N33"/>
    </sheetView>
  </sheetViews>
  <sheetFormatPr baseColWidth="10" defaultRowHeight="14.5" x14ac:dyDescent="0.35"/>
  <cols>
    <col min="1" max="1" width="24.1796875" bestFit="1" customWidth="1"/>
    <col min="2" max="2" width="22" bestFit="1" customWidth="1"/>
    <col min="4" max="4" width="19" bestFit="1" customWidth="1"/>
    <col min="7" max="7" width="24.1796875" bestFit="1" customWidth="1"/>
    <col min="8" max="8" width="30" bestFit="1" customWidth="1"/>
    <col min="9" max="9" width="13.6328125" bestFit="1" customWidth="1"/>
    <col min="10" max="10" width="8.26953125" bestFit="1" customWidth="1"/>
    <col min="11" max="11" width="16" bestFit="1" customWidth="1"/>
    <col min="13" max="13" width="24.1796875" bestFit="1" customWidth="1"/>
    <col min="14" max="14" width="30" bestFit="1" customWidth="1"/>
    <col min="15" max="15" width="13.6328125" bestFit="1" customWidth="1"/>
    <col min="16" max="16" width="8.26953125" bestFit="1" customWidth="1"/>
    <col min="17" max="17" width="16" bestFit="1" customWidth="1"/>
  </cols>
  <sheetData>
    <row r="1" spans="1:13" ht="18.5" x14ac:dyDescent="0.35">
      <c r="A1" s="39" t="s">
        <v>112</v>
      </c>
      <c r="B1" s="34"/>
      <c r="C1" s="34"/>
      <c r="D1" s="34"/>
      <c r="E1" s="34"/>
      <c r="F1" s="34"/>
      <c r="G1" s="34"/>
      <c r="H1" s="34"/>
    </row>
    <row r="3" spans="1:13" x14ac:dyDescent="0.35">
      <c r="A3" s="25" t="s">
        <v>113</v>
      </c>
    </row>
    <row r="4" spans="1:13" x14ac:dyDescent="0.35">
      <c r="M4" s="24" t="s">
        <v>114</v>
      </c>
    </row>
    <row r="5" spans="1:13" x14ac:dyDescent="0.35">
      <c r="M5" s="23">
        <f>Analisis!F21</f>
        <v>0.5</v>
      </c>
    </row>
    <row r="12" spans="1:13" x14ac:dyDescent="0.35">
      <c r="G12" s="41" t="s">
        <v>127</v>
      </c>
      <c r="H12" s="41" t="s">
        <v>130</v>
      </c>
    </row>
    <row r="13" spans="1:13" x14ac:dyDescent="0.35">
      <c r="G13" s="41" t="s">
        <v>128</v>
      </c>
      <c r="H13" t="s">
        <v>57</v>
      </c>
      <c r="I13" t="s">
        <v>41</v>
      </c>
      <c r="J13" t="s">
        <v>74</v>
      </c>
      <c r="K13" t="s">
        <v>129</v>
      </c>
    </row>
    <row r="14" spans="1:13" x14ac:dyDescent="0.35">
      <c r="G14" s="20" t="s">
        <v>98</v>
      </c>
      <c r="H14" s="40">
        <v>2</v>
      </c>
      <c r="I14" s="40"/>
      <c r="J14" s="40">
        <v>2</v>
      </c>
      <c r="K14" s="40">
        <v>4</v>
      </c>
    </row>
    <row r="15" spans="1:13" x14ac:dyDescent="0.35">
      <c r="G15" s="20" t="s">
        <v>55</v>
      </c>
      <c r="H15" s="40">
        <v>2</v>
      </c>
      <c r="I15" s="40">
        <v>4</v>
      </c>
      <c r="J15" s="40"/>
      <c r="K15" s="40">
        <v>6</v>
      </c>
    </row>
    <row r="16" spans="1:13" x14ac:dyDescent="0.35">
      <c r="G16" s="20" t="s">
        <v>63</v>
      </c>
      <c r="H16" s="40">
        <v>4</v>
      </c>
      <c r="I16" s="40"/>
      <c r="J16" s="40">
        <v>2</v>
      </c>
      <c r="K16" s="40">
        <v>6</v>
      </c>
    </row>
    <row r="17" spans="1:11" x14ac:dyDescent="0.35">
      <c r="A17" s="41" t="s">
        <v>128</v>
      </c>
      <c r="B17" t="s">
        <v>127</v>
      </c>
      <c r="G17" s="20" t="s">
        <v>39</v>
      </c>
      <c r="H17" s="40">
        <v>2</v>
      </c>
      <c r="I17" s="40">
        <v>4</v>
      </c>
      <c r="J17" s="40">
        <v>6</v>
      </c>
      <c r="K17" s="40">
        <v>12</v>
      </c>
    </row>
    <row r="18" spans="1:11" x14ac:dyDescent="0.35">
      <c r="A18" s="20" t="s">
        <v>96</v>
      </c>
      <c r="B18" s="40">
        <v>2</v>
      </c>
      <c r="G18" s="20" t="s">
        <v>48</v>
      </c>
      <c r="H18" s="40">
        <v>2</v>
      </c>
      <c r="I18" s="40">
        <v>6</v>
      </c>
      <c r="J18" s="40">
        <v>4</v>
      </c>
      <c r="K18" s="40">
        <v>12</v>
      </c>
    </row>
    <row r="19" spans="1:11" x14ac:dyDescent="0.35">
      <c r="A19" s="20" t="s">
        <v>33</v>
      </c>
      <c r="B19" s="40">
        <v>2</v>
      </c>
      <c r="G19" s="20" t="s">
        <v>129</v>
      </c>
      <c r="H19" s="40">
        <v>12</v>
      </c>
      <c r="I19" s="40">
        <v>14</v>
      </c>
      <c r="J19" s="40">
        <v>14</v>
      </c>
      <c r="K19" s="40">
        <v>40</v>
      </c>
    </row>
    <row r="20" spans="1:11" x14ac:dyDescent="0.35">
      <c r="A20" s="20" t="s">
        <v>71</v>
      </c>
      <c r="B20" s="40">
        <v>4</v>
      </c>
    </row>
    <row r="21" spans="1:11" x14ac:dyDescent="0.35">
      <c r="A21" s="20" t="s">
        <v>51</v>
      </c>
      <c r="B21" s="40">
        <v>6</v>
      </c>
    </row>
    <row r="22" spans="1:11" x14ac:dyDescent="0.35">
      <c r="A22" s="20" t="s">
        <v>65</v>
      </c>
      <c r="B22" s="40">
        <v>6</v>
      </c>
    </row>
    <row r="23" spans="1:11" x14ac:dyDescent="0.35">
      <c r="A23" s="20" t="s">
        <v>59</v>
      </c>
      <c r="B23" s="40">
        <v>8</v>
      </c>
    </row>
    <row r="24" spans="1:11" x14ac:dyDescent="0.35">
      <c r="A24" s="20" t="s">
        <v>44</v>
      </c>
      <c r="B24" s="40">
        <v>6</v>
      </c>
    </row>
    <row r="25" spans="1:11" x14ac:dyDescent="0.35">
      <c r="A25" s="20" t="s">
        <v>81</v>
      </c>
      <c r="B25" s="40">
        <v>2</v>
      </c>
    </row>
    <row r="26" spans="1:11" x14ac:dyDescent="0.35">
      <c r="A26" s="20" t="s">
        <v>88</v>
      </c>
      <c r="B26" s="40">
        <v>4</v>
      </c>
    </row>
    <row r="27" spans="1:11" x14ac:dyDescent="0.35">
      <c r="A27" s="20" t="s">
        <v>129</v>
      </c>
      <c r="B27" s="40">
        <v>40</v>
      </c>
    </row>
    <row r="33" spans="1:8" x14ac:dyDescent="0.35">
      <c r="A33" s="41" t="s">
        <v>128</v>
      </c>
      <c r="B33" t="s">
        <v>127</v>
      </c>
    </row>
    <row r="34" spans="1:8" x14ac:dyDescent="0.35">
      <c r="A34" s="20" t="s">
        <v>43</v>
      </c>
      <c r="B34" s="40">
        <v>20</v>
      </c>
    </row>
    <row r="35" spans="1:8" x14ac:dyDescent="0.35">
      <c r="A35" s="20" t="s">
        <v>50</v>
      </c>
      <c r="B35" s="40">
        <v>20</v>
      </c>
    </row>
    <row r="36" spans="1:8" x14ac:dyDescent="0.35">
      <c r="A36" s="20" t="s">
        <v>129</v>
      </c>
      <c r="B36" s="40">
        <v>40</v>
      </c>
    </row>
    <row r="40" spans="1:8" x14ac:dyDescent="0.35">
      <c r="G40" s="41" t="s">
        <v>128</v>
      </c>
      <c r="H40" t="s">
        <v>127</v>
      </c>
    </row>
    <row r="41" spans="1:8" x14ac:dyDescent="0.35">
      <c r="G41" s="20" t="s">
        <v>75</v>
      </c>
      <c r="H41" s="40">
        <v>8</v>
      </c>
    </row>
    <row r="42" spans="1:8" x14ac:dyDescent="0.35">
      <c r="G42" s="20" t="s">
        <v>35</v>
      </c>
      <c r="H42" s="40">
        <v>16</v>
      </c>
    </row>
    <row r="43" spans="1:8" x14ac:dyDescent="0.35">
      <c r="G43" s="20" t="s">
        <v>46</v>
      </c>
      <c r="H43" s="40">
        <v>16</v>
      </c>
    </row>
    <row r="44" spans="1:8" x14ac:dyDescent="0.35">
      <c r="G44" s="20" t="s">
        <v>129</v>
      </c>
      <c r="H44" s="40">
        <v>40</v>
      </c>
    </row>
  </sheetData>
  <mergeCells count="1">
    <mergeCell ref="A1:H1"/>
  </mergeCells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Proyecto</vt:lpstr>
      <vt:lpstr>Base_Cruda</vt:lpstr>
      <vt:lpstr>Data_autos</vt:lpstr>
      <vt:lpstr>Analisis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Lujan Massironi</dc:creator>
  <cp:lastModifiedBy>Maria Lujan Massironi</cp:lastModifiedBy>
  <dcterms:created xsi:type="dcterms:W3CDTF">2025-10-22T13:09:30Z</dcterms:created>
  <dcterms:modified xsi:type="dcterms:W3CDTF">2025-10-23T00:53:49Z</dcterms:modified>
</cp:coreProperties>
</file>