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jan\Downloads\"/>
    </mc:Choice>
  </mc:AlternateContent>
  <xr:revisionPtr revIDLastSave="0" documentId="13_ncr:1_{948A18CE-EA50-4A9A-9834-E81E50E12A58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Proyecto" sheetId="4" r:id="rId1"/>
    <sheet name="Base_Cruda" sheetId="5" r:id="rId2"/>
    <sheet name="Data_autos" sheetId="6" r:id="rId3"/>
    <sheet name="Parametros" sheetId="1" r:id="rId4"/>
    <sheet name="Analisis" sheetId="7" r:id="rId5"/>
    <sheet name="Dashboard" sheetId="9" r:id="rId6"/>
  </sheets>
  <externalReferences>
    <externalReference r:id="rId7"/>
  </externalReferences>
  <definedNames>
    <definedName name="SegmentaciónDeDatos_Estado">#N/A</definedName>
    <definedName name="SegmentaciónDeDatos_Estado1">#N/A</definedName>
    <definedName name="SegmentaciónDeDatos_Provincia">#N/A</definedName>
    <definedName name="SegmentaciónDeDatos_Tipo_Combustible">#N/A</definedName>
  </definedNames>
  <calcPr calcId="191029"/>
  <pivotCaches>
    <pivotCache cacheId="0" r:id="rId8"/>
    <pivotCache cacheId="1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9" l="1"/>
  <c r="C34" i="7" l="1"/>
  <c r="B34" i="7"/>
  <c r="C33" i="7"/>
  <c r="B33" i="7"/>
  <c r="C32" i="7"/>
  <c r="B32" i="7"/>
  <c r="B24" i="7"/>
  <c r="E23" i="7"/>
  <c r="B23" i="7"/>
  <c r="B22" i="7"/>
  <c r="E21" i="7"/>
  <c r="B21" i="7"/>
  <c r="B20" i="7"/>
  <c r="F13" i="7"/>
  <c r="B13" i="7"/>
  <c r="F12" i="7"/>
  <c r="B12" i="7"/>
  <c r="F11" i="7"/>
  <c r="B11" i="7"/>
  <c r="F10" i="7"/>
  <c r="B10" i="7"/>
  <c r="F9" i="7"/>
  <c r="B9" i="7"/>
  <c r="F8" i="7"/>
  <c r="B8" i="7"/>
  <c r="F7" i="7"/>
  <c r="B7" i="7"/>
  <c r="F6" i="7"/>
  <c r="B6" i="7"/>
  <c r="F5" i="7"/>
  <c r="B5" i="7"/>
  <c r="V41" i="6"/>
  <c r="U41" i="6"/>
  <c r="T41" i="6"/>
  <c r="S41" i="6"/>
  <c r="R41" i="6"/>
  <c r="Q41" i="6"/>
  <c r="V40" i="6"/>
  <c r="U40" i="6"/>
  <c r="T40" i="6"/>
  <c r="S40" i="6"/>
  <c r="R40" i="6"/>
  <c r="Q40" i="6"/>
  <c r="V39" i="6"/>
  <c r="U39" i="6"/>
  <c r="T39" i="6"/>
  <c r="S39" i="6"/>
  <c r="R39" i="6"/>
  <c r="Q39" i="6"/>
  <c r="V38" i="6"/>
  <c r="U38" i="6"/>
  <c r="T38" i="6"/>
  <c r="S38" i="6"/>
  <c r="R38" i="6"/>
  <c r="Q38" i="6"/>
  <c r="V37" i="6"/>
  <c r="U37" i="6"/>
  <c r="T37" i="6"/>
  <c r="S37" i="6"/>
  <c r="R37" i="6"/>
  <c r="Q37" i="6"/>
  <c r="V36" i="6"/>
  <c r="U36" i="6"/>
  <c r="T36" i="6"/>
  <c r="S36" i="6"/>
  <c r="R36" i="6"/>
  <c r="Q36" i="6"/>
  <c r="V35" i="6"/>
  <c r="U35" i="6"/>
  <c r="T35" i="6"/>
  <c r="S35" i="6"/>
  <c r="R35" i="6"/>
  <c r="Q35" i="6"/>
  <c r="V34" i="6"/>
  <c r="U34" i="6"/>
  <c r="T34" i="6"/>
  <c r="S34" i="6"/>
  <c r="R34" i="6"/>
  <c r="Q34" i="6"/>
  <c r="V33" i="6"/>
  <c r="U33" i="6"/>
  <c r="T33" i="6"/>
  <c r="S33" i="6"/>
  <c r="R33" i="6"/>
  <c r="Q33" i="6"/>
  <c r="V32" i="6"/>
  <c r="U32" i="6"/>
  <c r="T32" i="6"/>
  <c r="S32" i="6"/>
  <c r="R32" i="6"/>
  <c r="Q32" i="6"/>
  <c r="V31" i="6"/>
  <c r="U31" i="6"/>
  <c r="T31" i="6"/>
  <c r="S31" i="6"/>
  <c r="R31" i="6"/>
  <c r="Q31" i="6"/>
  <c r="V30" i="6"/>
  <c r="U30" i="6"/>
  <c r="T30" i="6"/>
  <c r="S30" i="6"/>
  <c r="R30" i="6"/>
  <c r="Q30" i="6"/>
  <c r="V29" i="6"/>
  <c r="U29" i="6"/>
  <c r="T29" i="6"/>
  <c r="S29" i="6"/>
  <c r="R29" i="6"/>
  <c r="Q29" i="6"/>
  <c r="V28" i="6"/>
  <c r="U28" i="6"/>
  <c r="T28" i="6"/>
  <c r="S28" i="6"/>
  <c r="R28" i="6"/>
  <c r="Q28" i="6"/>
  <c r="V27" i="6"/>
  <c r="U27" i="6"/>
  <c r="T27" i="6"/>
  <c r="S27" i="6"/>
  <c r="R27" i="6"/>
  <c r="Q27" i="6"/>
  <c r="V26" i="6"/>
  <c r="U26" i="6"/>
  <c r="T26" i="6"/>
  <c r="S26" i="6"/>
  <c r="R26" i="6"/>
  <c r="Q26" i="6"/>
  <c r="V25" i="6"/>
  <c r="U25" i="6"/>
  <c r="T25" i="6"/>
  <c r="S25" i="6"/>
  <c r="R25" i="6"/>
  <c r="Q25" i="6"/>
  <c r="V24" i="6"/>
  <c r="U24" i="6"/>
  <c r="T24" i="6"/>
  <c r="S24" i="6"/>
  <c r="R24" i="6"/>
  <c r="Q24" i="6"/>
  <c r="V23" i="6"/>
  <c r="U23" i="6"/>
  <c r="T23" i="6"/>
  <c r="S23" i="6"/>
  <c r="R23" i="6"/>
  <c r="Q23" i="6"/>
  <c r="V22" i="6"/>
  <c r="U22" i="6"/>
  <c r="T22" i="6"/>
  <c r="S22" i="6"/>
  <c r="R22" i="6"/>
  <c r="Q22" i="6"/>
  <c r="V21" i="6"/>
  <c r="U21" i="6"/>
  <c r="T21" i="6"/>
  <c r="S21" i="6"/>
  <c r="R21" i="6"/>
  <c r="Q21" i="6"/>
  <c r="V20" i="6"/>
  <c r="U20" i="6"/>
  <c r="T20" i="6"/>
  <c r="S20" i="6"/>
  <c r="R20" i="6"/>
  <c r="Q20" i="6"/>
  <c r="V19" i="6"/>
  <c r="U19" i="6"/>
  <c r="T19" i="6"/>
  <c r="S19" i="6"/>
  <c r="R19" i="6"/>
  <c r="Q19" i="6"/>
  <c r="V18" i="6"/>
  <c r="U18" i="6"/>
  <c r="T18" i="6"/>
  <c r="S18" i="6"/>
  <c r="R18" i="6"/>
  <c r="Q18" i="6"/>
  <c r="V17" i="6"/>
  <c r="U17" i="6"/>
  <c r="T17" i="6"/>
  <c r="S17" i="6"/>
  <c r="R17" i="6"/>
  <c r="Q17" i="6"/>
  <c r="V16" i="6"/>
  <c r="U16" i="6"/>
  <c r="T16" i="6"/>
  <c r="S16" i="6"/>
  <c r="R16" i="6"/>
  <c r="Q16" i="6"/>
  <c r="V15" i="6"/>
  <c r="U15" i="6"/>
  <c r="T15" i="6"/>
  <c r="S15" i="6"/>
  <c r="R15" i="6"/>
  <c r="Q15" i="6"/>
  <c r="V14" i="6"/>
  <c r="U14" i="6"/>
  <c r="T14" i="6"/>
  <c r="S14" i="6"/>
  <c r="R14" i="6"/>
  <c r="Q14" i="6"/>
  <c r="V13" i="6"/>
  <c r="U13" i="6"/>
  <c r="T13" i="6"/>
  <c r="S13" i="6"/>
  <c r="R13" i="6"/>
  <c r="Q13" i="6"/>
  <c r="V12" i="6"/>
  <c r="U12" i="6"/>
  <c r="T12" i="6"/>
  <c r="S12" i="6"/>
  <c r="R12" i="6"/>
  <c r="Q12" i="6"/>
  <c r="V11" i="6"/>
  <c r="U11" i="6"/>
  <c r="T11" i="6"/>
  <c r="S11" i="6"/>
  <c r="R11" i="6"/>
  <c r="Q11" i="6"/>
  <c r="V10" i="6"/>
  <c r="U10" i="6"/>
  <c r="T10" i="6"/>
  <c r="S10" i="6"/>
  <c r="R10" i="6"/>
  <c r="Q10" i="6"/>
  <c r="V9" i="6"/>
  <c r="U9" i="6"/>
  <c r="T9" i="6"/>
  <c r="S9" i="6"/>
  <c r="R9" i="6"/>
  <c r="Q9" i="6"/>
  <c r="V8" i="6"/>
  <c r="U8" i="6"/>
  <c r="T8" i="6"/>
  <c r="S8" i="6"/>
  <c r="R8" i="6"/>
  <c r="Q8" i="6"/>
  <c r="V7" i="6"/>
  <c r="U7" i="6"/>
  <c r="T7" i="6"/>
  <c r="S7" i="6"/>
  <c r="R7" i="6"/>
  <c r="Q7" i="6"/>
  <c r="V6" i="6"/>
  <c r="U6" i="6"/>
  <c r="T6" i="6"/>
  <c r="S6" i="6"/>
  <c r="R6" i="6"/>
  <c r="Q6" i="6"/>
  <c r="V5" i="6"/>
  <c r="U5" i="6"/>
  <c r="T5" i="6"/>
  <c r="S5" i="6"/>
  <c r="R5" i="6"/>
  <c r="Q5" i="6"/>
  <c r="V4" i="6"/>
  <c r="U4" i="6"/>
  <c r="T4" i="6"/>
  <c r="S4" i="6"/>
  <c r="R4" i="6"/>
  <c r="Q4" i="6"/>
  <c r="V3" i="6"/>
  <c r="U3" i="6"/>
  <c r="T3" i="6"/>
  <c r="S3" i="6"/>
  <c r="R3" i="6"/>
  <c r="Q3" i="6"/>
  <c r="V2" i="6"/>
  <c r="U2" i="6"/>
  <c r="T2" i="6"/>
  <c r="S2" i="6"/>
  <c r="B49" i="7" s="1"/>
  <c r="R2" i="6"/>
  <c r="Q2" i="6"/>
  <c r="F19" i="7" l="1"/>
  <c r="F21" i="7" s="1"/>
  <c r="B41" i="7"/>
  <c r="B47" i="7"/>
  <c r="B53" i="7"/>
  <c r="B48" i="7"/>
  <c r="C43" i="7"/>
  <c r="C49" i="7"/>
  <c r="C46" i="7"/>
  <c r="B42" i="7"/>
  <c r="B44" i="7"/>
  <c r="B50" i="7"/>
  <c r="C44" i="7"/>
  <c r="C50" i="7"/>
  <c r="B45" i="7"/>
  <c r="B51" i="7"/>
  <c r="C45" i="7"/>
  <c r="C51" i="7"/>
  <c r="B40" i="7"/>
  <c r="B46" i="7"/>
  <c r="B52" i="7"/>
  <c r="C40" i="7"/>
  <c r="C52" i="7"/>
  <c r="C41" i="7"/>
  <c r="C47" i="7"/>
  <c r="C53" i="7"/>
  <c r="C42" i="7"/>
  <c r="C48" i="7"/>
  <c r="B43" i="7"/>
  <c r="F23" i="7" l="1"/>
</calcChain>
</file>

<file path=xl/sharedStrings.xml><?xml version="1.0" encoding="utf-8"?>
<sst xmlns="http://schemas.openxmlformats.org/spreadsheetml/2006/main" count="1062" uniqueCount="163">
  <si>
    <t>Parámetro</t>
  </si>
  <si>
    <t>Valor</t>
  </si>
  <si>
    <t>Tipo_cambio_ARS_USD</t>
  </si>
  <si>
    <t>Umbral_Precio_Alta</t>
  </si>
  <si>
    <t>Umbral_KM_Medio</t>
  </si>
  <si>
    <t>Umbral_KM_Alto</t>
  </si>
  <si>
    <t>Marca</t>
  </si>
  <si>
    <t>Provincia</t>
  </si>
  <si>
    <t>% con financiación</t>
  </si>
  <si>
    <t>Estado</t>
  </si>
  <si>
    <t>Cantidad</t>
  </si>
  <si>
    <t>Chevrolet</t>
  </si>
  <si>
    <t>Citroën</t>
  </si>
  <si>
    <t>Fiat</t>
  </si>
  <si>
    <t>Ford</t>
  </si>
  <si>
    <t>Honda</t>
  </si>
  <si>
    <t>Peugeot</t>
  </si>
  <si>
    <t>Renault</t>
  </si>
  <si>
    <t>Toyota</t>
  </si>
  <si>
    <t>Volkswagen</t>
  </si>
  <si>
    <t>Mes</t>
  </si>
  <si>
    <t>2023-03</t>
  </si>
  <si>
    <t>2023-06</t>
  </si>
  <si>
    <t>2023-08</t>
  </si>
  <si>
    <t>2023-09</t>
  </si>
  <si>
    <t>2023-10</t>
  </si>
  <si>
    <t>2023-11</t>
  </si>
  <si>
    <t>2024-01</t>
  </si>
  <si>
    <t>2024-03</t>
  </si>
  <si>
    <t>2024-05</t>
  </si>
  <si>
    <t>2024-10</t>
  </si>
  <si>
    <t>2025-03</t>
  </si>
  <si>
    <t>2025-05</t>
  </si>
  <si>
    <t>2025-08</t>
  </si>
  <si>
    <t>2025-10</t>
  </si>
  <si>
    <t>Campo</t>
  </si>
  <si>
    <t>Descripción</t>
  </si>
  <si>
    <t>Título del proyecto</t>
  </si>
  <si>
    <t>Análisis de la oferta y ventas de autos en la Feria del Automóvil</t>
  </si>
  <si>
    <t>Se realiza un análisis exploratorio de los autos ofrecidos y vendidos en la feria, para identificar patrones de precios, marcas más frecuentes y tipos de combustible más comunes.</t>
  </si>
  <si>
    <t>Autora</t>
  </si>
  <si>
    <t>María Luján Massironi</t>
  </si>
  <si>
    <t>Programa académico</t>
  </si>
  <si>
    <t>Diplomatura en Data Science – Coderhouse</t>
  </si>
  <si>
    <t>Objetivo principal</t>
  </si>
  <si>
    <t>Detectar tendencias de mercado en base al tipo de vehículo, precio y características.</t>
  </si>
  <si>
    <t>Fuente de datos</t>
  </si>
  <si>
    <t>Dataset simulado coherente con publicaciones reales.</t>
  </si>
  <si>
    <t>Estructura</t>
  </si>
  <si>
    <t>40 observaciones, 17 columnas.</t>
  </si>
  <si>
    <t>Esta es la base de datos cruda original, antes del proceso de limpieza y normalización.</t>
  </si>
  <si>
    <t>ID_Auto</t>
  </si>
  <si>
    <t>Modelo</t>
  </si>
  <si>
    <t>Año</t>
  </si>
  <si>
    <t>Kilometraje</t>
  </si>
  <si>
    <t>Precio_ARS</t>
  </si>
  <si>
    <t>Tipo_Combustible</t>
  </si>
  <si>
    <t>Transmisión</t>
  </si>
  <si>
    <t>Color</t>
  </si>
  <si>
    <t>Puertas</t>
  </si>
  <si>
    <t>Carrocería</t>
  </si>
  <si>
    <t>Fecha_Publicación</t>
  </si>
  <si>
    <t>Origen</t>
  </si>
  <si>
    <t>Financiación</t>
  </si>
  <si>
    <t>Berlingo</t>
  </si>
  <si>
    <t>Híbrido</t>
  </si>
  <si>
    <t>Automática</t>
  </si>
  <si>
    <t>Rojo</t>
  </si>
  <si>
    <t>Sedán</t>
  </si>
  <si>
    <t>Mendoza</t>
  </si>
  <si>
    <t>2023-08-04</t>
  </si>
  <si>
    <t>Seminuevo</t>
  </si>
  <si>
    <t>Importado</t>
  </si>
  <si>
    <t>No</t>
  </si>
  <si>
    <t>Kwid</t>
  </si>
  <si>
    <t>Nafta</t>
  </si>
  <si>
    <t>Plateado</t>
  </si>
  <si>
    <t>Santa Fe</t>
  </si>
  <si>
    <t>2025-03-02</t>
  </si>
  <si>
    <t>Sí</t>
  </si>
  <si>
    <t>Fiesta</t>
  </si>
  <si>
    <t>Azul</t>
  </si>
  <si>
    <t>SUV</t>
  </si>
  <si>
    <t>Córdoba</t>
  </si>
  <si>
    <t>2023-11-26</t>
  </si>
  <si>
    <t>Excelente</t>
  </si>
  <si>
    <t>Nacional</t>
  </si>
  <si>
    <t>208</t>
  </si>
  <si>
    <t>Gris</t>
  </si>
  <si>
    <t>Pickup</t>
  </si>
  <si>
    <t>Entre Ríos</t>
  </si>
  <si>
    <t>2024-03-23</t>
  </si>
  <si>
    <t>Fit</t>
  </si>
  <si>
    <t>Manual</t>
  </si>
  <si>
    <t>2025-10-05</t>
  </si>
  <si>
    <t>2008</t>
  </si>
  <si>
    <t>2023-10-16</t>
  </si>
  <si>
    <t>Argo</t>
  </si>
  <si>
    <t>2023-10-07</t>
  </si>
  <si>
    <t>Usado</t>
  </si>
  <si>
    <t>Diésel</t>
  </si>
  <si>
    <t>Hatchback</t>
  </si>
  <si>
    <t>2023-09-19</t>
  </si>
  <si>
    <t>Ranger</t>
  </si>
  <si>
    <t>Blanco</t>
  </si>
  <si>
    <t>2024-01-04</t>
  </si>
  <si>
    <t>Yaris</t>
  </si>
  <si>
    <t>2023-10-18</t>
  </si>
  <si>
    <t>Civic</t>
  </si>
  <si>
    <t>2025-08-22</t>
  </si>
  <si>
    <t>Toro</t>
  </si>
  <si>
    <t>2023-11-11</t>
  </si>
  <si>
    <t>Amarok</t>
  </si>
  <si>
    <t>2023-03-11</t>
  </si>
  <si>
    <t>HR-V</t>
  </si>
  <si>
    <t>2023-06-09</t>
  </si>
  <si>
    <t>Sandero</t>
  </si>
  <si>
    <t>2023-08-11</t>
  </si>
  <si>
    <t>2024-03-10</t>
  </si>
  <si>
    <t>Cruze</t>
  </si>
  <si>
    <t>Buenos Aires</t>
  </si>
  <si>
    <t>2024-10-05</t>
  </si>
  <si>
    <t>2023-08-16</t>
  </si>
  <si>
    <t>Focus</t>
  </si>
  <si>
    <t>2025-05-20</t>
  </si>
  <si>
    <t>2024-05-05</t>
  </si>
  <si>
    <t>Precio_Nivel</t>
  </si>
  <si>
    <t>Es_Nacional</t>
  </si>
  <si>
    <t>Antigüedad (años)</t>
  </si>
  <si>
    <t>Segmento_KM</t>
  </si>
  <si>
    <t>Precio_USD</t>
  </si>
  <si>
    <t>¿Cuántos autos hay por marca?</t>
  </si>
  <si>
    <t>¿Cuál es el precio promedio por marca?</t>
  </si>
  <si>
    <t>Usar CONTAR.SI sobre la columna Marca (B).</t>
  </si>
  <si>
    <t>Usar PROMEDIO.SI con columna Precio_ARS.</t>
  </si>
  <si>
    <t>Precio promedio (ARS)</t>
  </si>
  <si>
    <t>¿Qué porcentaje tiene financiación?</t>
  </si>
  <si>
    <t>¿Cuántos autos ofrecen financiación?</t>
  </si>
  <si>
    <t>Usar fórmula =F2/F4 en tabla de financiación.</t>
  </si>
  <si>
    <t>Usar CONTAR.SI en columna Financiación (Q).</t>
  </si>
  <si>
    <t>Cantidad de Autos</t>
  </si>
  <si>
    <t>TOTAL DE AUTOS:</t>
  </si>
  <si>
    <t>Con financiación</t>
  </si>
  <si>
    <t>% Con financiación</t>
  </si>
  <si>
    <t>Sin financiación</t>
  </si>
  <si>
    <t>% Sin financiación</t>
  </si>
  <si>
    <t>¿Qué tipo de combustible es más común?</t>
  </si>
  <si>
    <t>Usar CONTAR.SI en columna Tipo_Combustible (G).</t>
  </si>
  <si>
    <t>Tipo de combustible</t>
  </si>
  <si>
    <t>Pregunta avanzada: tendencia de publicaciones por mes</t>
  </si>
  <si>
    <t>Se agrupa por Mes (columna 'Mes' creada en Data_autos) y se calcula cantidad y precio promedio.</t>
  </si>
  <si>
    <t>Cantidad publicaciones</t>
  </si>
  <si>
    <t>Dashboard – Feria del Automóvil: Análisis de Ventas y Ofertas</t>
  </si>
  <si>
    <t>👉 Aquí se insertarán las Tablas y Gráficos Dinámicos vinculados a la hoja 'Data_autos'</t>
  </si>
  <si>
    <t>Cuenta de ID_Auto</t>
  </si>
  <si>
    <t>Etiquetas de columna</t>
  </si>
  <si>
    <t>Etiquetas de fila</t>
  </si>
  <si>
    <t>Total general</t>
  </si>
  <si>
    <t>Promedio de Precio_USD</t>
  </si>
  <si>
    <t>¿Cómo varía el precio promedio de los vehículos según la provincia y el tipo de combustible?</t>
  </si>
  <si>
    <t>Alto</t>
  </si>
  <si>
    <t>Cantidad de publicaciones</t>
  </si>
  <si>
    <t>¿Cuál es el perfil típico de los vehículos con mayor precio promedio en el mercado (marca, año, km, origen y financiación)?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</si>
</sst>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.00"/>
    <numFmt numFmtId="165" formatCode="dd\-mm\-yy;@"/>
    <numFmt numFmtId="166" formatCode="&quot;USD&quot;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2"/>
      <color rgb="FF9C0006"/>
      <name val="Calibri"/>
    </font>
    <font>
      <i/>
      <sz val="11"/>
      <color rgb="FF555555"/>
      <name val="Calibri"/>
    </font>
    <font>
      <b/>
      <sz val="14"/>
      <color rgb="FF9C0006"/>
      <name val="Calibri"/>
    </font>
    <font>
      <i/>
      <sz val="11"/>
      <color rgb="FF777777"/>
      <name val="Calibri"/>
    </font>
    <font>
      <b/>
      <sz val="11"/>
      <name val="Calibri"/>
    </font>
    <font>
      <b/>
      <sz val="11"/>
      <color rgb="FFC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1" xfId="0" applyNumberFormat="1" applyBorder="1"/>
    <xf numFmtId="0" fontId="2" fillId="3" borderId="0" xfId="0" applyFont="1" applyFill="1"/>
    <xf numFmtId="9" fontId="0" fillId="0" borderId="0" xfId="0" applyNumberFormat="1"/>
    <xf numFmtId="0" fontId="2" fillId="3" borderId="0" xfId="0" applyFont="1" applyFill="1" applyAlignment="1">
      <alignment horizontal="right"/>
    </xf>
    <xf numFmtId="0" fontId="8" fillId="0" borderId="0" xfId="0" applyFont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0" xfId="0" pivotButton="1"/>
    <xf numFmtId="0" fontId="9" fillId="0" borderId="0" xfId="0" applyFont="1"/>
    <xf numFmtId="3" fontId="0" fillId="0" borderId="0" xfId="0" applyNumberFormat="1"/>
    <xf numFmtId="17" fontId="0" fillId="0" borderId="0" xfId="0" applyNumberFormat="1"/>
    <xf numFmtId="166" fontId="0" fillId="0" borderId="0" xfId="0" applyNumberFormat="1"/>
    <xf numFmtId="0" fontId="0" fillId="0" borderId="0" xfId="0"/>
    <xf numFmtId="0" fontId="4" fillId="4" borderId="0" xfId="0" applyFont="1" applyFill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9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NumberFormat="1"/>
    <xf numFmtId="0" fontId="10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" fontId="0" fillId="0" borderId="0" xfId="0" applyNumberFormat="1" applyAlignment="1">
      <alignment horizontal="left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autos</a:t>
            </a:r>
            <a:r>
              <a:rPr lang="en-US" baseline="0"/>
              <a:t> por marca</a:t>
            </a:r>
            <a:endParaRPr lang="en-US"/>
          </a:p>
        </c:rich>
      </c:tx>
      <c:layout>
        <c:manualLayout>
          <c:xMode val="edge"/>
          <c:yMode val="edge"/>
          <c:x val="0.25852077865266843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Chevrolet</c:v>
              </c:pt>
              <c:pt idx="1">
                <c:v>Citroën</c:v>
              </c:pt>
              <c:pt idx="2">
                <c:v>Fiat</c:v>
              </c:pt>
              <c:pt idx="3">
                <c:v>Ford</c:v>
              </c:pt>
              <c:pt idx="4">
                <c:v>Honda</c:v>
              </c:pt>
              <c:pt idx="5">
                <c:v>Peugeot</c:v>
              </c:pt>
              <c:pt idx="6">
                <c:v>Renault</c:v>
              </c:pt>
              <c:pt idx="7">
                <c:v>Toyota</c:v>
              </c:pt>
              <c:pt idx="8">
                <c:v>Volkswagen</c:v>
              </c:pt>
            </c:strLit>
          </c:cat>
          <c:val>
            <c:numLit>
              <c:formatCode>General</c:formatCode>
              <c:ptCount val="9"/>
              <c:pt idx="0">
                <c:v>2</c:v>
              </c:pt>
              <c:pt idx="1">
                <c:v>2</c:v>
              </c:pt>
              <c:pt idx="2">
                <c:v>4</c:v>
              </c:pt>
              <c:pt idx="3">
                <c:v>6</c:v>
              </c:pt>
              <c:pt idx="4">
                <c:v>6</c:v>
              </c:pt>
              <c:pt idx="5">
                <c:v>8</c:v>
              </c:pt>
              <c:pt idx="6">
                <c:v>6</c:v>
              </c:pt>
              <c:pt idx="7">
                <c:v>2</c:v>
              </c:pt>
              <c:pt idx="8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142-4B5C-8D00-AFAB0CC52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35009071"/>
        <c:axId val="1434993231"/>
      </c:barChart>
      <c:catAx>
        <c:axId val="143500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34993231"/>
        <c:crosses val="autoZero"/>
        <c:auto val="1"/>
        <c:lblAlgn val="ctr"/>
        <c:lblOffset val="100"/>
        <c:noMultiLvlLbl val="0"/>
      </c:catAx>
      <c:valAx>
        <c:axId val="14349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3500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800" b="1" i="0" u="none" strike="noStrike" baseline="0"/>
              <a:t>Distribución por Tipo de Combustible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2">
              <a:tint val="65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392859540013207E-2"/>
          <c:y val="0.23558620612285536"/>
          <c:w val="0.77550889574370807"/>
          <c:h val="0.76441379387714459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BFEC-422C-B484-437A8D8F0F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BFEC-422C-B484-437A8D8F0FFF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BFEC-422C-B484-437A8D8F0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Diésel</c:v>
              </c:pt>
              <c:pt idx="1">
                <c:v>Híbrido</c:v>
              </c:pt>
              <c:pt idx="2">
                <c:v>Nafta</c:v>
              </c:pt>
            </c:strLit>
          </c:cat>
          <c:val>
            <c:numLit>
              <c:formatCode>General</c:formatCode>
              <c:ptCount val="3"/>
              <c:pt idx="0">
                <c:v>8</c:v>
              </c:pt>
              <c:pt idx="1">
                <c:v>16</c:v>
              </c:pt>
              <c:pt idx="2">
                <c:v>16</c:v>
              </c:pt>
            </c:numLit>
          </c:val>
          <c:extLst>
            <c:ext xmlns:c16="http://schemas.microsoft.com/office/drawing/2014/chart" uri="{C3380CC4-5D6E-409C-BE32-E72D297353CC}">
              <c16:uniqueId val="{00000006-BFEC-422C-B484-437A8D8F0FF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baseline="0"/>
              <a:t>Autos Sin / Con Financiación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No</c:v>
              </c:pt>
              <c:pt idx="1">
                <c:v>Sí</c:v>
              </c:pt>
            </c:strLit>
          </c:cat>
          <c:val>
            <c:numLit>
              <c:formatCode>General</c:formatCode>
              <c:ptCount val="2"/>
              <c:pt idx="0">
                <c:v>20</c:v>
              </c:pt>
              <c:pt idx="1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0-69C2-4C33-B8D8-378035B3C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489487"/>
        <c:axId val="1340484687"/>
      </c:barChart>
      <c:catAx>
        <c:axId val="134048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4687"/>
        <c:crosses val="autoZero"/>
        <c:auto val="1"/>
        <c:lblAlgn val="ctr"/>
        <c:lblOffset val="100"/>
        <c:noMultiLvlLbl val="0"/>
      </c:catAx>
      <c:valAx>
        <c:axId val="13404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Excelente</c:v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Buenos Aires</c:v>
              </c:pt>
              <c:pt idx="1">
                <c:v>Córdoba</c:v>
              </c:pt>
              <c:pt idx="2">
                <c:v>Entre Ríos</c:v>
              </c:pt>
              <c:pt idx="3">
                <c:v>Mendoza</c:v>
              </c:pt>
              <c:pt idx="4">
                <c:v>Santa Fe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2</c:v>
              </c:pt>
              <c:pt idx="2">
                <c:v>4</c:v>
              </c:pt>
              <c:pt idx="3">
                <c:v>2</c:v>
              </c:pt>
              <c:pt idx="4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5031-4E13-B07D-8B38A050F719}"/>
            </c:ext>
          </c:extLst>
        </c:ser>
        <c:ser>
          <c:idx val="1"/>
          <c:order val="1"/>
          <c:tx>
            <c:v>Seminuevo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Buenos Aires</c:v>
              </c:pt>
              <c:pt idx="1">
                <c:v>Córdoba</c:v>
              </c:pt>
              <c:pt idx="2">
                <c:v>Entre Ríos</c:v>
              </c:pt>
              <c:pt idx="3">
                <c:v>Mendoza</c:v>
              </c:pt>
              <c:pt idx="4">
                <c:v>Santa Fe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4</c:v>
              </c:pt>
              <c:pt idx="2">
                <c:v>0</c:v>
              </c:pt>
              <c:pt idx="3">
                <c:v>4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5031-4E13-B07D-8B38A050F719}"/>
            </c:ext>
          </c:extLst>
        </c:ser>
        <c:ser>
          <c:idx val="2"/>
          <c:order val="2"/>
          <c:tx>
            <c:v>Usado</c:v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Buenos Aires</c:v>
              </c:pt>
              <c:pt idx="1">
                <c:v>Córdoba</c:v>
              </c:pt>
              <c:pt idx="2">
                <c:v>Entre Ríos</c:v>
              </c:pt>
              <c:pt idx="3">
                <c:v>Mendoza</c:v>
              </c:pt>
              <c:pt idx="4">
                <c:v>Santa Fe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0</c:v>
              </c:pt>
              <c:pt idx="2">
                <c:v>2</c:v>
              </c:pt>
              <c:pt idx="3">
                <c:v>6</c:v>
              </c:pt>
              <c:pt idx="4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2-5031-4E13-B07D-8B38A050F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489967"/>
        <c:axId val="1340486607"/>
      </c:barChart>
      <c:catAx>
        <c:axId val="134048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6607"/>
        <c:crosses val="autoZero"/>
        <c:auto val="1"/>
        <c:lblAlgn val="ctr"/>
        <c:lblOffset val="100"/>
        <c:noMultiLvlLbl val="0"/>
      </c:catAx>
      <c:valAx>
        <c:axId val="13404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48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[ProyectoFinal_Massironi.xlsx]Dashboard!TablaDinámica5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99608817554523"/>
          <c:y val="0.15175710040136037"/>
          <c:w val="0.6281731756774550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Dashboard!$B$62:$B$63</c:f>
              <c:strCache>
                <c:ptCount val="1"/>
                <c:pt idx="0">
                  <c:v>Diésel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Dashboard!$A$64:$A$69</c:f>
              <c:strCache>
                <c:ptCount val="5"/>
                <c:pt idx="0">
                  <c:v>Buenos Aires</c:v>
                </c:pt>
                <c:pt idx="1">
                  <c:v>Córdoba</c:v>
                </c:pt>
                <c:pt idx="2">
                  <c:v>Entre Ríos</c:v>
                </c:pt>
                <c:pt idx="3">
                  <c:v>Mendoza</c:v>
                </c:pt>
                <c:pt idx="4">
                  <c:v>Santa Fe</c:v>
                </c:pt>
              </c:strCache>
            </c:strRef>
          </c:cat>
          <c:val>
            <c:numRef>
              <c:f>Dashboard!$B$64:$B$69</c:f>
              <c:numCache>
                <c:formatCode>"USD"\ #,##0.00</c:formatCode>
                <c:ptCount val="5"/>
                <c:pt idx="0">
                  <c:v>9106.061818181819</c:v>
                </c:pt>
                <c:pt idx="2">
                  <c:v>19193.99818181818</c:v>
                </c:pt>
                <c:pt idx="4">
                  <c:v>18471.993636363637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E-4D07-8EC7-D848FE8AD439}"/>
            </c:ext>
          </c:extLst>
        </c:ser>
        <c:ser>
          <c:idx val="1"/>
          <c:order val="1"/>
          <c:tx>
            <c:strRef>
              <c:f>Dashboard!$C$62:$C$63</c:f>
              <c:strCache>
                <c:ptCount val="1"/>
                <c:pt idx="0">
                  <c:v>Híbrido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Dashboard!$A$64:$A$69</c:f>
              <c:strCache>
                <c:ptCount val="5"/>
                <c:pt idx="0">
                  <c:v>Buenos Aires</c:v>
                </c:pt>
                <c:pt idx="1">
                  <c:v>Córdoba</c:v>
                </c:pt>
                <c:pt idx="2">
                  <c:v>Entre Ríos</c:v>
                </c:pt>
                <c:pt idx="3">
                  <c:v>Mendoza</c:v>
                </c:pt>
                <c:pt idx="4">
                  <c:v>Santa Fe</c:v>
                </c:pt>
              </c:strCache>
            </c:strRef>
          </c:cat>
          <c:val>
            <c:numRef>
              <c:f>Dashboard!$C$64:$C$69</c:f>
              <c:numCache>
                <c:formatCode>"USD"\ #,##0.00</c:formatCode>
                <c:ptCount val="5"/>
                <c:pt idx="1">
                  <c:v>21125.076363636363</c:v>
                </c:pt>
                <c:pt idx="2">
                  <c:v>19378.952727272728</c:v>
                </c:pt>
                <c:pt idx="3">
                  <c:v>12664.369090909091</c:v>
                </c:pt>
                <c:pt idx="4">
                  <c:v>9740.7181818181816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8E-4D07-8EC7-D848FE8AD439}"/>
            </c:ext>
          </c:extLst>
        </c:ser>
        <c:ser>
          <c:idx val="2"/>
          <c:order val="2"/>
          <c:tx>
            <c:strRef>
              <c:f>Dashboard!$D$62:$D$63</c:f>
              <c:strCache>
                <c:ptCount val="1"/>
                <c:pt idx="0">
                  <c:v>Nafta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Dashboard!$A$64:$A$69</c:f>
              <c:strCache>
                <c:ptCount val="5"/>
                <c:pt idx="0">
                  <c:v>Buenos Aires</c:v>
                </c:pt>
                <c:pt idx="1">
                  <c:v>Córdoba</c:v>
                </c:pt>
                <c:pt idx="2">
                  <c:v>Entre Ríos</c:v>
                </c:pt>
                <c:pt idx="3">
                  <c:v>Mendoza</c:v>
                </c:pt>
                <c:pt idx="4">
                  <c:v>Santa Fe</c:v>
                </c:pt>
              </c:strCache>
            </c:strRef>
          </c:cat>
          <c:val>
            <c:numRef>
              <c:f>Dashboard!$D$64:$D$69</c:f>
              <c:numCache>
                <c:formatCode>"USD"\ #,##0.00</c:formatCode>
                <c:ptCount val="5"/>
                <c:pt idx="0">
                  <c:v>17217.23909090909</c:v>
                </c:pt>
                <c:pt idx="1">
                  <c:v>16663.996363636365</c:v>
                </c:pt>
                <c:pt idx="3">
                  <c:v>13712.183181818184</c:v>
                </c:pt>
                <c:pt idx="4">
                  <c:v>12826.340303030303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8E-4D07-8EC7-D848FE8AD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741679"/>
        <c:axId val="728761839"/>
      </c:barChart>
      <c:catAx>
        <c:axId val="72874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61839"/>
        <c:crosses val="autoZero"/>
        <c:auto val="1"/>
        <c:lblAlgn val="ctr"/>
        <c:lblOffset val="100"/>
        <c:noMultiLvlLbl val="0"/>
      </c:catAx>
      <c:valAx>
        <c:axId val="72876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USD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2874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[ProyectoFinal_Massironi.xlsx]Dashboard!TablaDinámica6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Dashboard!$B$71</c:f>
              <c:strCache>
                <c:ptCount val="1"/>
                <c:pt idx="0">
                  <c:v>Promedio de Precio_USD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Dashboard!$A$72:$A$77</c:f>
              <c:multiLvlStrCache>
                <c:ptCount val="1"/>
                <c:lvl>
                  <c:pt idx="0">
                    <c:v>137001</c:v>
                  </c:pt>
                </c:lvl>
                <c:lvl>
                  <c:pt idx="0">
                    <c:v>Importado</c:v>
                  </c:pt>
                </c:lvl>
                <c:lvl>
                  <c:pt idx="0">
                    <c:v>Chevrolet</c:v>
                  </c:pt>
                </c:lvl>
                <c:lvl>
                  <c:pt idx="0">
                    <c:v>Sí</c:v>
                  </c:pt>
                </c:lvl>
                <c:lvl>
                  <c:pt idx="0">
                    <c:v>Alto</c:v>
                  </c:pt>
                </c:lvl>
              </c:multiLvlStrCache>
            </c:multiLvlStrRef>
          </c:cat>
          <c:val>
            <c:numRef>
              <c:f>Dashboard!$B$72:$B$77</c:f>
              <c:numCache>
                <c:formatCode>"USD"\ #,##0.00</c:formatCode>
                <c:ptCount val="1"/>
                <c:pt idx="0">
                  <c:v>9106.061818181819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0-41C4-B0D4-14D7AA83CF63}"/>
            </c:ext>
          </c:extLst>
        </c:ser>
        <c:ser>
          <c:idx val="1"/>
          <c:order val="1"/>
          <c:tx>
            <c:strRef>
              <c:f>Dashboard!$C$71</c:f>
              <c:strCache>
                <c:ptCount val="1"/>
                <c:pt idx="0">
                  <c:v>Cantidad de publicaciones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Dashboard!$A$72:$A$77</c:f>
              <c:multiLvlStrCache>
                <c:ptCount val="1"/>
                <c:lvl>
                  <c:pt idx="0">
                    <c:v>137001</c:v>
                  </c:pt>
                </c:lvl>
                <c:lvl>
                  <c:pt idx="0">
                    <c:v>Importado</c:v>
                  </c:pt>
                </c:lvl>
                <c:lvl>
                  <c:pt idx="0">
                    <c:v>Chevrolet</c:v>
                  </c:pt>
                </c:lvl>
                <c:lvl>
                  <c:pt idx="0">
                    <c:v>Sí</c:v>
                  </c:pt>
                </c:lvl>
                <c:lvl>
                  <c:pt idx="0">
                    <c:v>Alto</c:v>
                  </c:pt>
                </c:lvl>
              </c:multiLvlStrCache>
            </c:multiLvlStrRef>
          </c:cat>
          <c:val>
            <c:numRef>
              <c:f>Dashboard!$C$72:$C$77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0-41C4-B0D4-14D7AA83C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1187680"/>
        <c:axId val="1321190080"/>
      </c:barChart>
      <c:catAx>
        <c:axId val="132118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21190080"/>
        <c:crosses val="autoZero"/>
        <c:auto val="1"/>
        <c:lblAlgn val="ctr"/>
        <c:lblOffset val="100"/>
        <c:noMultiLvlLbl val="0"/>
      </c:catAx>
      <c:valAx>
        <c:axId val="132119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USD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2118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112059</xdr:rowOff>
    </xdr:from>
    <xdr:to>
      <xdr:col>4</xdr:col>
      <xdr:colOff>74705</xdr:colOff>
      <xdr:row>27</xdr:row>
      <xdr:rowOff>95375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723628-C7F4-47CD-BC6B-19B675A17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174314</xdr:colOff>
      <xdr:row>27</xdr:row>
      <xdr:rowOff>124508</xdr:rowOff>
    </xdr:from>
    <xdr:to>
      <xdr:col>11</xdr:col>
      <xdr:colOff>124509</xdr:colOff>
      <xdr:row>48</xdr:row>
      <xdr:rowOff>124508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25DEF6-9793-4D58-9964-A11190974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153644</xdr:rowOff>
    </xdr:from>
    <xdr:to>
      <xdr:col>4</xdr:col>
      <xdr:colOff>62255</xdr:colOff>
      <xdr:row>48</xdr:row>
      <xdr:rowOff>62254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D1411A-53BD-4549-8F05-3DF9C0B99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266448</xdr:colOff>
      <xdr:row>6</xdr:row>
      <xdr:rowOff>116293</xdr:rowOff>
    </xdr:from>
    <xdr:to>
      <xdr:col>11</xdr:col>
      <xdr:colOff>448235</xdr:colOff>
      <xdr:row>26</xdr:row>
      <xdr:rowOff>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346141A-7C05-4266-8975-02ADA4C43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664135</xdr:colOff>
      <xdr:row>9</xdr:row>
      <xdr:rowOff>161863</xdr:rowOff>
    </xdr:from>
    <xdr:to>
      <xdr:col>15</xdr:col>
      <xdr:colOff>100354</xdr:colOff>
      <xdr:row>18</xdr:row>
      <xdr:rowOff>24901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stado">
              <a:extLst>
                <a:ext uri="{FF2B5EF4-FFF2-40B4-BE49-F238E27FC236}">
                  <a16:creationId xmlns:a16="http://schemas.microsoft.com/office/drawing/2014/main" id="{1290EEAE-9507-440E-97E3-B2BAAED86E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74135" y="1828738"/>
              <a:ext cx="2452469" cy="14703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51</xdr:row>
      <xdr:rowOff>127000</xdr:rowOff>
    </xdr:from>
    <xdr:to>
      <xdr:col>5</xdr:col>
      <xdr:colOff>260350</xdr:colOff>
      <xdr:row>69</xdr:row>
      <xdr:rowOff>76200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E29B941-7EF0-444B-B53F-242BE56C2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1000292</xdr:colOff>
      <xdr:row>78</xdr:row>
      <xdr:rowOff>15819</xdr:rowOff>
    </xdr:from>
    <xdr:ext cx="1828020" cy="2592193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Tipo_Combustible">
              <a:extLst>
                <a:ext uri="{FF2B5EF4-FFF2-40B4-BE49-F238E27FC236}">
                  <a16:creationId xmlns:a16="http://schemas.microsoft.com/office/drawing/2014/main" id="{EF16D9D6-95E0-4F9A-A8A8-15005A0852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Combustib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9930" y="14005663"/>
              <a:ext cx="1828020" cy="25921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oneCellAnchor>
    <xdr:from>
      <xdr:col>4</xdr:col>
      <xdr:colOff>1011433</xdr:colOff>
      <xdr:row>84</xdr:row>
      <xdr:rowOff>53919</xdr:rowOff>
    </xdr:from>
    <xdr:ext cx="1828020" cy="2591079"/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Provincia">
              <a:extLst>
                <a:ext uri="{FF2B5EF4-FFF2-40B4-BE49-F238E27FC236}">
                  <a16:creationId xmlns:a16="http://schemas.microsoft.com/office/drawing/2014/main" id="{D5C9C8B0-5FC5-46B1-83A3-126CD425E3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4721" y="15115325"/>
              <a:ext cx="1828020" cy="25910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oneCellAnchor>
  <xdr:twoCellAnchor>
    <xdr:from>
      <xdr:col>0</xdr:col>
      <xdr:colOff>19843</xdr:colOff>
      <xdr:row>69</xdr:row>
      <xdr:rowOff>106362</xdr:rowOff>
    </xdr:from>
    <xdr:to>
      <xdr:col>4</xdr:col>
      <xdr:colOff>714375</xdr:colOff>
      <xdr:row>139</xdr:row>
      <xdr:rowOff>11112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1F80786-D896-4ADE-A8BE-C766FA550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jan\Downloads\ProyectoParcial_Massironi.xlsx" TargetMode="External"/><Relationship Id="rId1" Type="http://schemas.openxmlformats.org/officeDocument/2006/relationships/externalLinkPath" Target="ProyectoParcial_Massiro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yecto"/>
      <sheetName val="Base_Cruda"/>
      <sheetName val="Data_autos"/>
      <sheetName val="Analisis"/>
      <sheetName val="Dashboard"/>
    </sheetNames>
    <sheetDataSet>
      <sheetData sheetId="0" refreshError="1"/>
      <sheetData sheetId="1" refreshError="1"/>
      <sheetData sheetId="2" refreshError="1"/>
      <sheetData sheetId="3">
        <row r="21">
          <cell r="F21">
            <v>0.5</v>
          </cell>
        </row>
      </sheetData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royectoParcial_Massironi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Lujan Massironi" refreshedDate="45952.89721412037" createdVersion="8" refreshedVersion="8" minRefreshableVersion="3" recordCount="40" xr:uid="{9D7D3916-A526-4D0E-9D59-5C2B64A3A8FF}">
  <cacheSource type="worksheet">
    <worksheetSource ref="A1:R41" sheet="Data_autos" r:id="rId2"/>
  </cacheSource>
  <cacheFields count="18">
    <cacheField name="ID_Auto" numFmtId="0">
      <sharedItems containsSemiMixedTypes="0" containsString="0" containsNumber="1" containsInteger="1" minValue="1" maxValue="40"/>
    </cacheField>
    <cacheField name="Marca" numFmtId="0">
      <sharedItems count="9">
        <s v="Citroën"/>
        <s v="Renault"/>
        <s v="Ford"/>
        <s v="Peugeot"/>
        <s v="Honda"/>
        <s v="Fiat"/>
        <s v="Toyota"/>
        <s v="Volkswagen"/>
        <s v="Chevrolet"/>
      </sharedItems>
    </cacheField>
    <cacheField name="Modelo" numFmtId="49">
      <sharedItems/>
    </cacheField>
    <cacheField name="Año" numFmtId="0">
      <sharedItems containsSemiMixedTypes="0" containsString="0" containsNumber="1" containsInteger="1" minValue="2015" maxValue="2023"/>
    </cacheField>
    <cacheField name="Kilometraje" numFmtId="1">
      <sharedItems containsSemiMixedTypes="0" containsString="0" containsNumber="1" containsInteger="1" minValue="23581" maxValue="141731"/>
    </cacheField>
    <cacheField name="Precio_ARS" numFmtId="164">
      <sharedItems containsSemiMixedTypes="0" containsString="0" containsNumber="1" containsInteger="1" minValue="4392397" maxValue="23237584"/>
    </cacheField>
    <cacheField name="Tipo_Combustible" numFmtId="0">
      <sharedItems count="3">
        <s v="Híbrido"/>
        <s v="Nafta"/>
        <s v="Diésel"/>
      </sharedItems>
    </cacheField>
    <cacheField name="Transmisión" numFmtId="0">
      <sharedItems/>
    </cacheField>
    <cacheField name="Color" numFmtId="0">
      <sharedItems/>
    </cacheField>
    <cacheField name="Puertas" numFmtId="0">
      <sharedItems containsSemiMixedTypes="0" containsString="0" containsNumber="1" containsInteger="1" minValue="3" maxValue="5"/>
    </cacheField>
    <cacheField name="Carrocería" numFmtId="0">
      <sharedItems/>
    </cacheField>
    <cacheField name="Provincia" numFmtId="0">
      <sharedItems count="5">
        <s v="Mendoza"/>
        <s v="Santa Fe"/>
        <s v="Córdoba"/>
        <s v="Entre Ríos"/>
        <s v="Buenos Aires"/>
      </sharedItems>
    </cacheField>
    <cacheField name="Fecha_Publicación" numFmtId="165">
      <sharedItems/>
    </cacheField>
    <cacheField name="Estado" numFmtId="0">
      <sharedItems count="3">
        <s v="Seminuevo"/>
        <s v="Excelente"/>
        <s v="Usado"/>
      </sharedItems>
    </cacheField>
    <cacheField name="Origen" numFmtId="0">
      <sharedItems/>
    </cacheField>
    <cacheField name="Financiación" numFmtId="0">
      <sharedItems count="2">
        <s v="No"/>
        <s v="Sí"/>
      </sharedItems>
    </cacheField>
    <cacheField name="Precio_Nivel" numFmtId="0">
      <sharedItems/>
    </cacheField>
    <cacheField name="Es_Nacional" numFmtId="0">
      <sharedItems/>
    </cacheField>
  </cacheFields>
  <extLst>
    <ext xmlns:x14="http://schemas.microsoft.com/office/spreadsheetml/2009/9/main" uri="{725AE2AE-9491-48be-B2B4-4EB974FC3084}">
      <x14:pivotCacheDefinition pivotCacheId="208468467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Lujan Massironi" refreshedDate="46006.019836805557" createdVersion="8" refreshedVersion="8" minRefreshableVersion="3" recordCount="40" xr:uid="{AD932752-4307-488E-AD4F-20F95849CF57}">
  <cacheSource type="worksheet">
    <worksheetSource name="tblDataAutos"/>
  </cacheSource>
  <cacheFields count="22">
    <cacheField name="ID_Auto" numFmtId="0">
      <sharedItems containsSemiMixedTypes="0" containsString="0" containsNumber="1" containsInteger="1" minValue="1" maxValue="40"/>
    </cacheField>
    <cacheField name="Marca" numFmtId="0">
      <sharedItems count="9">
        <s v="Citroën"/>
        <s v="Renault"/>
        <s v="Ford"/>
        <s v="Peugeot"/>
        <s v="Honda"/>
        <s v="Fiat"/>
        <s v="Toyota"/>
        <s v="Volkswagen"/>
        <s v="Chevrolet"/>
      </sharedItems>
    </cacheField>
    <cacheField name="Modelo" numFmtId="49">
      <sharedItems/>
    </cacheField>
    <cacheField name="Año" numFmtId="0">
      <sharedItems containsSemiMixedTypes="0" containsString="0" containsNumber="1" containsInteger="1" minValue="2015" maxValue="2023"/>
    </cacheField>
    <cacheField name="Kilometraje" numFmtId="1">
      <sharedItems containsSemiMixedTypes="0" containsString="0" containsNumber="1" containsInteger="1" minValue="23581" maxValue="141731" count="20">
        <n v="140300"/>
        <n v="44429"/>
        <n v="118020"/>
        <n v="28856"/>
        <n v="137684"/>
        <n v="25965"/>
        <n v="44801"/>
        <n v="125599"/>
        <n v="70467"/>
        <n v="52055"/>
        <n v="82137"/>
        <n v="77417"/>
        <n v="28861"/>
        <n v="27118"/>
        <n v="23581"/>
        <n v="94325"/>
        <n v="137001"/>
        <n v="104744"/>
        <n v="91450"/>
        <n v="141731"/>
      </sharedItems>
    </cacheField>
    <cacheField name="Precio_ARS" numFmtId="164">
      <sharedItems containsSemiMixedTypes="0" containsString="0" containsNumber="1" containsInteger="1" minValue="4392397" maxValue="23237584"/>
    </cacheField>
    <cacheField name="Tipo_Combustible" numFmtId="0">
      <sharedItems count="3">
        <s v="Híbrido"/>
        <s v="Nafta"/>
        <s v="Diésel"/>
      </sharedItems>
    </cacheField>
    <cacheField name="Transmisión" numFmtId="0">
      <sharedItems/>
    </cacheField>
    <cacheField name="Color" numFmtId="0">
      <sharedItems/>
    </cacheField>
    <cacheField name="Puertas" numFmtId="0">
      <sharedItems containsSemiMixedTypes="0" containsString="0" containsNumber="1" containsInteger="1" minValue="3" maxValue="5"/>
    </cacheField>
    <cacheField name="Carrocería" numFmtId="0">
      <sharedItems/>
    </cacheField>
    <cacheField name="Provincia" numFmtId="0">
      <sharedItems count="5">
        <s v="Mendoza"/>
        <s v="Santa Fe"/>
        <s v="Córdoba"/>
        <s v="Entre Ríos"/>
        <s v="Buenos Aires"/>
      </sharedItems>
    </cacheField>
    <cacheField name="Fecha_Publicación" numFmtId="165">
      <sharedItems/>
    </cacheField>
    <cacheField name="Estado" numFmtId="0">
      <sharedItems/>
    </cacheField>
    <cacheField name="Origen" numFmtId="0">
      <sharedItems count="2">
        <s v="Importado"/>
        <s v="Nacional"/>
      </sharedItems>
    </cacheField>
    <cacheField name="Financiación" numFmtId="0">
      <sharedItems count="2">
        <s v="No"/>
        <s v="Sí"/>
      </sharedItems>
    </cacheField>
    <cacheField name="Precio_Nivel" numFmtId="0">
      <sharedItems/>
    </cacheField>
    <cacheField name="Es_Nacional" numFmtId="0">
      <sharedItems/>
    </cacheField>
    <cacheField name="Mes" numFmtId="17">
      <sharedItems containsSemiMixedTypes="0" containsNonDate="0" containsDate="1" containsString="0" minDate="2023-03-01T00:00:00" maxDate="2025-10-02T00:00:00"/>
    </cacheField>
    <cacheField name="Antigüedad (años)" numFmtId="0">
      <sharedItems containsSemiMixedTypes="0" containsString="0" containsNumber="1" containsInteger="1" minValue="2" maxValue="10"/>
    </cacheField>
    <cacheField name="Segmento_KM" numFmtId="0">
      <sharedItems count="3">
        <s v="Alto"/>
        <s v="Bajo"/>
        <s v="Medio"/>
      </sharedItems>
    </cacheField>
    <cacheField name="Precio_USD" numFmtId="166">
      <sharedItems containsSemiMixedTypes="0" containsString="0" containsNumber="1" minValue="3993.088181818182" maxValue="21125.076363636363"/>
    </cacheField>
  </cacheFields>
  <extLst>
    <ext xmlns:x14="http://schemas.microsoft.com/office/spreadsheetml/2009/9/main" uri="{725AE2AE-9491-48be-B2B4-4EB974FC3084}">
      <x14:pivotCacheDefinition pivotCacheId="18947097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s v="Berlingo"/>
    <n v="2018"/>
    <n v="140300"/>
    <n v="4392397"/>
    <x v="0"/>
    <s v="Automática"/>
    <s v="Rojo"/>
    <n v="3"/>
    <s v="Sedán"/>
    <x v="0"/>
    <s v="2023-08-04"/>
    <x v="0"/>
    <s v="Importado"/>
    <x v="0"/>
    <s v="Media"/>
    <s v="No"/>
  </r>
  <r>
    <n v="2"/>
    <x v="1"/>
    <s v="Kwid"/>
    <n v="2016"/>
    <n v="44429"/>
    <n v="15550583"/>
    <x v="1"/>
    <s v="Automática"/>
    <s v="Plateado"/>
    <n v="5"/>
    <s v="Sedán"/>
    <x v="1"/>
    <s v="2025-03-02"/>
    <x v="0"/>
    <s v="Importado"/>
    <x v="1"/>
    <s v="Media"/>
    <s v="No"/>
  </r>
  <r>
    <n v="3"/>
    <x v="2"/>
    <s v="Fiesta"/>
    <n v="2020"/>
    <n v="118020"/>
    <n v="18134749"/>
    <x v="1"/>
    <s v="Automática"/>
    <s v="Azul"/>
    <n v="3"/>
    <s v="SUV"/>
    <x v="2"/>
    <s v="2023-11-26"/>
    <x v="1"/>
    <s v="Nacional"/>
    <x v="0"/>
    <s v="Media"/>
    <s v="Sí"/>
  </r>
  <r>
    <n v="4"/>
    <x v="3"/>
    <s v="208"/>
    <n v="2017"/>
    <n v="28856"/>
    <n v="21316848"/>
    <x v="0"/>
    <s v="Automática"/>
    <s v="Gris"/>
    <n v="5"/>
    <s v="Pickup"/>
    <x v="3"/>
    <s v="2024-03-23"/>
    <x v="1"/>
    <s v="Importado"/>
    <x v="0"/>
    <s v="Alta"/>
    <s v="No"/>
  </r>
  <r>
    <n v="5"/>
    <x v="4"/>
    <s v="Fit"/>
    <n v="2017"/>
    <n v="137684"/>
    <n v="22243508"/>
    <x v="1"/>
    <s v="Manual"/>
    <s v="Rojo"/>
    <n v="4"/>
    <s v="Pickup"/>
    <x v="1"/>
    <s v="2025-10-05"/>
    <x v="0"/>
    <s v="Nacional"/>
    <x v="1"/>
    <s v="Alta"/>
    <s v="Sí"/>
  </r>
  <r>
    <n v="6"/>
    <x v="3"/>
    <s v="2008"/>
    <n v="2022"/>
    <n v="25965"/>
    <n v="7701714"/>
    <x v="0"/>
    <s v="Manual"/>
    <s v="Gris"/>
    <n v="3"/>
    <s v="SUV"/>
    <x v="1"/>
    <s v="2023-10-16"/>
    <x v="1"/>
    <s v="Nacional"/>
    <x v="0"/>
    <s v="Media"/>
    <s v="Sí"/>
  </r>
  <r>
    <n v="7"/>
    <x v="5"/>
    <s v="Argo"/>
    <n v="2017"/>
    <n v="44801"/>
    <n v="13727866"/>
    <x v="0"/>
    <s v="Automática"/>
    <s v="Plateado"/>
    <n v="5"/>
    <s v="SUV"/>
    <x v="1"/>
    <s v="2023-10-07"/>
    <x v="2"/>
    <s v="Nacional"/>
    <x v="1"/>
    <s v="Media"/>
    <s v="Sí"/>
  </r>
  <r>
    <n v="8"/>
    <x v="3"/>
    <s v="208"/>
    <n v="2015"/>
    <n v="125599"/>
    <n v="19200946"/>
    <x v="2"/>
    <s v="Manual"/>
    <s v="Azul"/>
    <n v="3"/>
    <s v="Hatchback"/>
    <x v="3"/>
    <s v="2023-09-19"/>
    <x v="1"/>
    <s v="Importado"/>
    <x v="1"/>
    <s v="Media"/>
    <s v="No"/>
  </r>
  <r>
    <n v="9"/>
    <x v="2"/>
    <s v="Ranger"/>
    <n v="2021"/>
    <n v="70467"/>
    <n v="21908286"/>
    <x v="1"/>
    <s v="Manual"/>
    <s v="Blanco"/>
    <n v="3"/>
    <s v="Sedán"/>
    <x v="0"/>
    <s v="2024-01-04"/>
    <x v="2"/>
    <s v="Nacional"/>
    <x v="0"/>
    <s v="Alta"/>
    <s v="Sí"/>
  </r>
  <r>
    <n v="10"/>
    <x v="6"/>
    <s v="Yaris"/>
    <n v="2017"/>
    <n v="52055"/>
    <n v="23237584"/>
    <x v="0"/>
    <s v="Manual"/>
    <s v="Plateado"/>
    <n v="5"/>
    <s v="Pickup"/>
    <x v="2"/>
    <s v="2023-10-18"/>
    <x v="0"/>
    <s v="Nacional"/>
    <x v="0"/>
    <s v="Alta"/>
    <s v="Sí"/>
  </r>
  <r>
    <n v="11"/>
    <x v="4"/>
    <s v="Civic"/>
    <n v="2023"/>
    <n v="82137"/>
    <n v="23025850"/>
    <x v="2"/>
    <s v="Manual"/>
    <s v="Azul"/>
    <n v="3"/>
    <s v="Sedán"/>
    <x v="3"/>
    <s v="2025-08-22"/>
    <x v="2"/>
    <s v="Nacional"/>
    <x v="1"/>
    <s v="Alta"/>
    <s v="Sí"/>
  </r>
  <r>
    <n v="12"/>
    <x v="5"/>
    <s v="Toro"/>
    <n v="2015"/>
    <n v="77417"/>
    <n v="20319193"/>
    <x v="2"/>
    <s v="Automática"/>
    <s v="Plateado"/>
    <n v="3"/>
    <s v="Pickup"/>
    <x v="1"/>
    <s v="2023-11-11"/>
    <x v="2"/>
    <s v="Nacional"/>
    <x v="1"/>
    <s v="Alta"/>
    <s v="Sí"/>
  </r>
  <r>
    <n v="13"/>
    <x v="7"/>
    <s v="Amarok"/>
    <n v="2023"/>
    <n v="28861"/>
    <n v="4532832"/>
    <x v="1"/>
    <s v="Manual"/>
    <s v="Plateado"/>
    <n v="5"/>
    <s v="SUV"/>
    <x v="1"/>
    <s v="2023-03-11"/>
    <x v="0"/>
    <s v="Nacional"/>
    <x v="0"/>
    <s v="Media"/>
    <s v="Sí"/>
  </r>
  <r>
    <n v="14"/>
    <x v="4"/>
    <s v="HR-V"/>
    <n v="2022"/>
    <n v="27118"/>
    <n v="8258517"/>
    <x v="1"/>
    <s v="Automática"/>
    <s v="Azul"/>
    <n v="4"/>
    <s v="SUV"/>
    <x v="0"/>
    <s v="2023-06-09"/>
    <x v="2"/>
    <s v="Importado"/>
    <x v="1"/>
    <s v="Media"/>
    <s v="No"/>
  </r>
  <r>
    <n v="15"/>
    <x v="1"/>
    <s v="Sandero"/>
    <n v="2019"/>
    <n v="23581"/>
    <n v="18526043"/>
    <x v="1"/>
    <s v="Manual"/>
    <s v="Plateado"/>
    <n v="5"/>
    <s v="SUV"/>
    <x v="2"/>
    <s v="2023-08-11"/>
    <x v="0"/>
    <s v="Nacional"/>
    <x v="1"/>
    <s v="Media"/>
    <s v="Sí"/>
  </r>
  <r>
    <n v="16"/>
    <x v="1"/>
    <s v="Kwid"/>
    <n v="2019"/>
    <n v="94325"/>
    <n v="21895688"/>
    <x v="0"/>
    <s v="Manual"/>
    <s v="Plateado"/>
    <n v="5"/>
    <s v="Pickup"/>
    <x v="0"/>
    <s v="2024-03-10"/>
    <x v="1"/>
    <s v="Nacional"/>
    <x v="0"/>
    <s v="Alta"/>
    <s v="Sí"/>
  </r>
  <r>
    <n v="17"/>
    <x v="8"/>
    <s v="Cruze"/>
    <n v="2017"/>
    <n v="137001"/>
    <n v="10016668"/>
    <x v="2"/>
    <s v="Manual"/>
    <s v="Blanco"/>
    <n v="4"/>
    <s v="SUV"/>
    <x v="4"/>
    <s v="2024-10-05"/>
    <x v="2"/>
    <s v="Importado"/>
    <x v="1"/>
    <s v="Media"/>
    <s v="No"/>
  </r>
  <r>
    <n v="18"/>
    <x v="3"/>
    <s v="2008"/>
    <n v="2015"/>
    <n v="104744"/>
    <n v="21377222"/>
    <x v="0"/>
    <s v="Automática"/>
    <s v="Plateado"/>
    <n v="3"/>
    <s v="Sedán"/>
    <x v="0"/>
    <s v="2023-08-16"/>
    <x v="0"/>
    <s v="Importado"/>
    <x v="0"/>
    <s v="Alta"/>
    <s v="No"/>
  </r>
  <r>
    <n v="19"/>
    <x v="2"/>
    <s v="Focus"/>
    <n v="2022"/>
    <n v="91450"/>
    <n v="8057917"/>
    <x v="0"/>
    <s v="Automática"/>
    <s v="Rojo"/>
    <n v="3"/>
    <s v="Sedán"/>
    <x v="0"/>
    <s v="2025-05-20"/>
    <x v="2"/>
    <s v="Nacional"/>
    <x v="1"/>
    <s v="Media"/>
    <s v="Sí"/>
  </r>
  <r>
    <n v="20"/>
    <x v="7"/>
    <s v="Amarok"/>
    <n v="2019"/>
    <n v="141731"/>
    <n v="18938963"/>
    <x v="1"/>
    <s v="Manual"/>
    <s v="Blanco"/>
    <n v="3"/>
    <s v="Sedán"/>
    <x v="4"/>
    <s v="2024-05-05"/>
    <x v="1"/>
    <s v="Nacional"/>
    <x v="0"/>
    <s v="Media"/>
    <s v="Sí"/>
  </r>
  <r>
    <n v="21"/>
    <x v="0"/>
    <s v="Berlingo"/>
    <n v="2018"/>
    <n v="140300"/>
    <n v="4392397"/>
    <x v="0"/>
    <s v="Automática"/>
    <s v="Rojo"/>
    <n v="3"/>
    <s v="Sedán"/>
    <x v="0"/>
    <s v="2023-08-04"/>
    <x v="0"/>
    <s v="Importado"/>
    <x v="0"/>
    <s v="Media"/>
    <s v="No"/>
  </r>
  <r>
    <n v="22"/>
    <x v="1"/>
    <s v="Kwid"/>
    <n v="2016"/>
    <n v="44429"/>
    <n v="15550583"/>
    <x v="1"/>
    <s v="Automática"/>
    <s v="Plateado"/>
    <n v="5"/>
    <s v="Sedán"/>
    <x v="1"/>
    <s v="2025-03-02"/>
    <x v="0"/>
    <s v="Importado"/>
    <x v="1"/>
    <s v="Media"/>
    <s v="No"/>
  </r>
  <r>
    <n v="23"/>
    <x v="2"/>
    <s v="Fiesta"/>
    <n v="2020"/>
    <n v="118020"/>
    <n v="18134749"/>
    <x v="1"/>
    <s v="Automática"/>
    <s v="Azul"/>
    <n v="3"/>
    <s v="SUV"/>
    <x v="2"/>
    <s v="2023-11-26"/>
    <x v="1"/>
    <s v="Nacional"/>
    <x v="0"/>
    <s v="Media"/>
    <s v="Sí"/>
  </r>
  <r>
    <n v="24"/>
    <x v="3"/>
    <s v="208"/>
    <n v="2017"/>
    <n v="28856"/>
    <n v="21316848"/>
    <x v="0"/>
    <s v="Automática"/>
    <s v="Gris"/>
    <n v="5"/>
    <s v="Pickup"/>
    <x v="3"/>
    <s v="2024-03-23"/>
    <x v="1"/>
    <s v="Importado"/>
    <x v="0"/>
    <s v="Alta"/>
    <s v="No"/>
  </r>
  <r>
    <n v="25"/>
    <x v="4"/>
    <s v="Fit"/>
    <n v="2017"/>
    <n v="137684"/>
    <n v="22243508"/>
    <x v="1"/>
    <s v="Manual"/>
    <s v="Rojo"/>
    <n v="4"/>
    <s v="Pickup"/>
    <x v="1"/>
    <s v="2025-10-05"/>
    <x v="0"/>
    <s v="Nacional"/>
    <x v="1"/>
    <s v="Alta"/>
    <s v="Sí"/>
  </r>
  <r>
    <n v="26"/>
    <x v="3"/>
    <s v="2008"/>
    <n v="2022"/>
    <n v="25965"/>
    <n v="7701714"/>
    <x v="0"/>
    <s v="Manual"/>
    <s v="Gris"/>
    <n v="3"/>
    <s v="SUV"/>
    <x v="1"/>
    <s v="2023-10-16"/>
    <x v="1"/>
    <s v="Nacional"/>
    <x v="0"/>
    <s v="Media"/>
    <s v="Sí"/>
  </r>
  <r>
    <n v="27"/>
    <x v="5"/>
    <s v="Argo"/>
    <n v="2017"/>
    <n v="44801"/>
    <n v="13727866"/>
    <x v="0"/>
    <s v="Automática"/>
    <s v="Plateado"/>
    <n v="5"/>
    <s v="SUV"/>
    <x v="1"/>
    <s v="2023-10-07"/>
    <x v="2"/>
    <s v="Nacional"/>
    <x v="1"/>
    <s v="Media"/>
    <s v="Sí"/>
  </r>
  <r>
    <n v="28"/>
    <x v="3"/>
    <s v="208"/>
    <n v="2015"/>
    <n v="125599"/>
    <n v="19200946"/>
    <x v="2"/>
    <s v="Manual"/>
    <s v="Azul"/>
    <n v="3"/>
    <s v="Hatchback"/>
    <x v="3"/>
    <s v="2023-09-19"/>
    <x v="1"/>
    <s v="Importado"/>
    <x v="1"/>
    <s v="Media"/>
    <s v="No"/>
  </r>
  <r>
    <n v="29"/>
    <x v="2"/>
    <s v="Ranger"/>
    <n v="2021"/>
    <n v="70467"/>
    <n v="21908286"/>
    <x v="1"/>
    <s v="Manual"/>
    <s v="Blanco"/>
    <n v="3"/>
    <s v="Sedán"/>
    <x v="0"/>
    <s v="2024-01-04"/>
    <x v="2"/>
    <s v="Nacional"/>
    <x v="0"/>
    <s v="Alta"/>
    <s v="Sí"/>
  </r>
  <r>
    <n v="30"/>
    <x v="6"/>
    <s v="Yaris"/>
    <n v="2017"/>
    <n v="52055"/>
    <n v="23237584"/>
    <x v="0"/>
    <s v="Manual"/>
    <s v="Plateado"/>
    <n v="5"/>
    <s v="Pickup"/>
    <x v="2"/>
    <s v="2023-10-18"/>
    <x v="0"/>
    <s v="Nacional"/>
    <x v="0"/>
    <s v="Alta"/>
    <s v="Sí"/>
  </r>
  <r>
    <n v="31"/>
    <x v="4"/>
    <s v="Civic"/>
    <n v="2023"/>
    <n v="82137"/>
    <n v="23025850"/>
    <x v="2"/>
    <s v="Manual"/>
    <s v="Azul"/>
    <n v="3"/>
    <s v="Sedán"/>
    <x v="3"/>
    <s v="2025-08-22"/>
    <x v="2"/>
    <s v="Nacional"/>
    <x v="1"/>
    <s v="Alta"/>
    <s v="Sí"/>
  </r>
  <r>
    <n v="32"/>
    <x v="5"/>
    <s v="Toro"/>
    <n v="2015"/>
    <n v="77417"/>
    <n v="20319193"/>
    <x v="2"/>
    <s v="Automática"/>
    <s v="Plateado"/>
    <n v="3"/>
    <s v="Pickup"/>
    <x v="1"/>
    <s v="2023-11-11"/>
    <x v="2"/>
    <s v="Nacional"/>
    <x v="1"/>
    <s v="Alta"/>
    <s v="Sí"/>
  </r>
  <r>
    <n v="33"/>
    <x v="7"/>
    <s v="Amarok"/>
    <n v="2023"/>
    <n v="28861"/>
    <n v="4532832"/>
    <x v="1"/>
    <s v="Manual"/>
    <s v="Plateado"/>
    <n v="5"/>
    <s v="SUV"/>
    <x v="1"/>
    <s v="2023-03-11"/>
    <x v="0"/>
    <s v="Nacional"/>
    <x v="0"/>
    <s v="Media"/>
    <s v="Sí"/>
  </r>
  <r>
    <n v="34"/>
    <x v="4"/>
    <s v="HR-V"/>
    <n v="2022"/>
    <n v="27118"/>
    <n v="8258517"/>
    <x v="1"/>
    <s v="Automática"/>
    <s v="Azul"/>
    <n v="4"/>
    <s v="SUV"/>
    <x v="0"/>
    <s v="2023-06-09"/>
    <x v="2"/>
    <s v="Importado"/>
    <x v="1"/>
    <s v="Media"/>
    <s v="No"/>
  </r>
  <r>
    <n v="35"/>
    <x v="1"/>
    <s v="Sandero"/>
    <n v="2019"/>
    <n v="23581"/>
    <n v="18526043"/>
    <x v="1"/>
    <s v="Manual"/>
    <s v="Plateado"/>
    <n v="5"/>
    <s v="SUV"/>
    <x v="2"/>
    <s v="2023-08-11"/>
    <x v="0"/>
    <s v="Nacional"/>
    <x v="1"/>
    <s v="Media"/>
    <s v="Sí"/>
  </r>
  <r>
    <n v="36"/>
    <x v="1"/>
    <s v="Kwid"/>
    <n v="2019"/>
    <n v="94325"/>
    <n v="21895688"/>
    <x v="0"/>
    <s v="Manual"/>
    <s v="Plateado"/>
    <n v="5"/>
    <s v="Pickup"/>
    <x v="0"/>
    <s v="2024-03-10"/>
    <x v="1"/>
    <s v="Nacional"/>
    <x v="0"/>
    <s v="Alta"/>
    <s v="Sí"/>
  </r>
  <r>
    <n v="37"/>
    <x v="8"/>
    <s v="Cruze"/>
    <n v="2017"/>
    <n v="137001"/>
    <n v="10016668"/>
    <x v="2"/>
    <s v="Manual"/>
    <s v="Blanco"/>
    <n v="4"/>
    <s v="SUV"/>
    <x v="4"/>
    <s v="2024-10-05"/>
    <x v="2"/>
    <s v="Importado"/>
    <x v="1"/>
    <s v="Media"/>
    <s v="No"/>
  </r>
  <r>
    <n v="38"/>
    <x v="3"/>
    <s v="2008"/>
    <n v="2015"/>
    <n v="104744"/>
    <n v="21377222"/>
    <x v="0"/>
    <s v="Automática"/>
    <s v="Plateado"/>
    <n v="3"/>
    <s v="Sedán"/>
    <x v="0"/>
    <s v="2023-08-16"/>
    <x v="0"/>
    <s v="Importado"/>
    <x v="0"/>
    <s v="Alta"/>
    <s v="No"/>
  </r>
  <r>
    <n v="39"/>
    <x v="2"/>
    <s v="Focus"/>
    <n v="2022"/>
    <n v="91450"/>
    <n v="8057917"/>
    <x v="0"/>
    <s v="Automática"/>
    <s v="Rojo"/>
    <n v="3"/>
    <s v="Sedán"/>
    <x v="0"/>
    <s v="2025-05-20"/>
    <x v="2"/>
    <s v="Nacional"/>
    <x v="1"/>
    <s v="Media"/>
    <s v="Sí"/>
  </r>
  <r>
    <n v="40"/>
    <x v="7"/>
    <s v="Amarok"/>
    <n v="2019"/>
    <n v="141731"/>
    <n v="18938963"/>
    <x v="1"/>
    <s v="Manual"/>
    <s v="Blanco"/>
    <n v="3"/>
    <s v="Sedán"/>
    <x v="4"/>
    <s v="2024-05-05"/>
    <x v="1"/>
    <s v="Nacional"/>
    <x v="0"/>
    <s v="Media"/>
    <s v="Sí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s v="Berlingo"/>
    <n v="2018"/>
    <x v="0"/>
    <n v="4392397"/>
    <x v="0"/>
    <s v="Automática"/>
    <s v="Rojo"/>
    <n v="3"/>
    <s v="Sedán"/>
    <x v="0"/>
    <s v="2023-08-04"/>
    <s v="Seminuevo"/>
    <x v="0"/>
    <x v="0"/>
    <s v="Media"/>
    <s v="No"/>
    <d v="2023-08-01T00:00:00"/>
    <n v="7"/>
    <x v="0"/>
    <n v="3993.088181818182"/>
  </r>
  <r>
    <n v="2"/>
    <x v="1"/>
    <s v="Kwid"/>
    <n v="2016"/>
    <x v="1"/>
    <n v="15550583"/>
    <x v="1"/>
    <s v="Automática"/>
    <s v="Plateado"/>
    <n v="5"/>
    <s v="Sedán"/>
    <x v="1"/>
    <s v="2025-03-02"/>
    <s v="Seminuevo"/>
    <x v="0"/>
    <x v="1"/>
    <s v="Media"/>
    <s v="No"/>
    <d v="2025-03-01T00:00:00"/>
    <n v="9"/>
    <x v="1"/>
    <n v="14136.893636363637"/>
  </r>
  <r>
    <n v="3"/>
    <x v="2"/>
    <s v="Fiesta"/>
    <n v="2020"/>
    <x v="2"/>
    <n v="18134749"/>
    <x v="1"/>
    <s v="Automática"/>
    <s v="Azul"/>
    <n v="3"/>
    <s v="SUV"/>
    <x v="2"/>
    <s v="2023-11-26"/>
    <s v="Excelente"/>
    <x v="1"/>
    <x v="0"/>
    <s v="Media"/>
    <s v="Sí"/>
    <d v="2023-11-01T00:00:00"/>
    <n v="5"/>
    <x v="0"/>
    <n v="16486.135454545456"/>
  </r>
  <r>
    <n v="4"/>
    <x v="3"/>
    <s v="208"/>
    <n v="2017"/>
    <x v="3"/>
    <n v="21316848"/>
    <x v="0"/>
    <s v="Automática"/>
    <s v="Gris"/>
    <n v="5"/>
    <s v="Pickup"/>
    <x v="3"/>
    <s v="2024-03-23"/>
    <s v="Excelente"/>
    <x v="0"/>
    <x v="0"/>
    <s v="Alta"/>
    <s v="No"/>
    <d v="2024-03-01T00:00:00"/>
    <n v="8"/>
    <x v="1"/>
    <n v="19378.952727272728"/>
  </r>
  <r>
    <n v="5"/>
    <x v="4"/>
    <s v="Fit"/>
    <n v="2017"/>
    <x v="4"/>
    <n v="22243508"/>
    <x v="1"/>
    <s v="Manual"/>
    <s v="Rojo"/>
    <n v="4"/>
    <s v="Pickup"/>
    <x v="1"/>
    <s v="2025-10-05"/>
    <s v="Seminuevo"/>
    <x v="1"/>
    <x v="1"/>
    <s v="Alta"/>
    <s v="Sí"/>
    <d v="2025-10-01T00:00:00"/>
    <n v="8"/>
    <x v="0"/>
    <n v="20221.370909090911"/>
  </r>
  <r>
    <n v="6"/>
    <x v="3"/>
    <s v="2008"/>
    <n v="2022"/>
    <x v="5"/>
    <n v="7701714"/>
    <x v="0"/>
    <s v="Manual"/>
    <s v="Gris"/>
    <n v="3"/>
    <s v="SUV"/>
    <x v="1"/>
    <s v="2023-10-16"/>
    <s v="Excelente"/>
    <x v="1"/>
    <x v="0"/>
    <s v="Media"/>
    <s v="Sí"/>
    <d v="2023-10-01T00:00:00"/>
    <n v="3"/>
    <x v="1"/>
    <n v="7001.5581818181818"/>
  </r>
  <r>
    <n v="7"/>
    <x v="5"/>
    <s v="Argo"/>
    <n v="2017"/>
    <x v="6"/>
    <n v="13727866"/>
    <x v="0"/>
    <s v="Automática"/>
    <s v="Plateado"/>
    <n v="5"/>
    <s v="SUV"/>
    <x v="1"/>
    <s v="2023-10-07"/>
    <s v="Usado"/>
    <x v="1"/>
    <x v="1"/>
    <s v="Media"/>
    <s v="Sí"/>
    <d v="2023-10-01T00:00:00"/>
    <n v="8"/>
    <x v="1"/>
    <n v="12479.878181818181"/>
  </r>
  <r>
    <n v="8"/>
    <x v="3"/>
    <s v="208"/>
    <n v="2015"/>
    <x v="7"/>
    <n v="19200946"/>
    <x v="2"/>
    <s v="Manual"/>
    <s v="Azul"/>
    <n v="3"/>
    <s v="Hatchback"/>
    <x v="3"/>
    <s v="2023-09-19"/>
    <s v="Excelente"/>
    <x v="0"/>
    <x v="1"/>
    <s v="Media"/>
    <s v="No"/>
    <d v="2023-09-01T00:00:00"/>
    <n v="10"/>
    <x v="0"/>
    <n v="17455.405454545453"/>
  </r>
  <r>
    <n v="9"/>
    <x v="2"/>
    <s v="Ranger"/>
    <n v="2021"/>
    <x v="8"/>
    <n v="21908286"/>
    <x v="1"/>
    <s v="Manual"/>
    <s v="Blanco"/>
    <n v="3"/>
    <s v="Sedán"/>
    <x v="0"/>
    <s v="2024-01-04"/>
    <s v="Usado"/>
    <x v="1"/>
    <x v="0"/>
    <s v="Alta"/>
    <s v="Sí"/>
    <d v="2024-01-01T00:00:00"/>
    <n v="4"/>
    <x v="2"/>
    <n v="19916.623636363638"/>
  </r>
  <r>
    <n v="10"/>
    <x v="6"/>
    <s v="Yaris"/>
    <n v="2017"/>
    <x v="9"/>
    <n v="23237584"/>
    <x v="0"/>
    <s v="Manual"/>
    <s v="Plateado"/>
    <n v="5"/>
    <s v="Pickup"/>
    <x v="2"/>
    <s v="2023-10-18"/>
    <s v="Seminuevo"/>
    <x v="1"/>
    <x v="0"/>
    <s v="Alta"/>
    <s v="Sí"/>
    <d v="2023-10-01T00:00:00"/>
    <n v="8"/>
    <x v="2"/>
    <n v="21125.076363636363"/>
  </r>
  <r>
    <n v="11"/>
    <x v="4"/>
    <s v="Civic"/>
    <n v="2023"/>
    <x v="10"/>
    <n v="23025850"/>
    <x v="2"/>
    <s v="Manual"/>
    <s v="Azul"/>
    <n v="3"/>
    <s v="Sedán"/>
    <x v="3"/>
    <s v="2025-08-22"/>
    <s v="Usado"/>
    <x v="1"/>
    <x v="1"/>
    <s v="Alta"/>
    <s v="Sí"/>
    <d v="2025-08-01T00:00:00"/>
    <n v="2"/>
    <x v="2"/>
    <n v="20932.590909090908"/>
  </r>
  <r>
    <n v="12"/>
    <x v="5"/>
    <s v="Toro"/>
    <n v="2015"/>
    <x v="11"/>
    <n v="20319193"/>
    <x v="2"/>
    <s v="Automática"/>
    <s v="Plateado"/>
    <n v="3"/>
    <s v="Pickup"/>
    <x v="1"/>
    <s v="2023-11-11"/>
    <s v="Usado"/>
    <x v="1"/>
    <x v="1"/>
    <s v="Alta"/>
    <s v="Sí"/>
    <d v="2023-11-01T00:00:00"/>
    <n v="10"/>
    <x v="2"/>
    <n v="18471.993636363637"/>
  </r>
  <r>
    <n v="13"/>
    <x v="7"/>
    <s v="Amarok"/>
    <n v="2023"/>
    <x v="12"/>
    <n v="4532832"/>
    <x v="1"/>
    <s v="Manual"/>
    <s v="Plateado"/>
    <n v="5"/>
    <s v="SUV"/>
    <x v="1"/>
    <s v="2023-03-11"/>
    <s v="Seminuevo"/>
    <x v="1"/>
    <x v="0"/>
    <s v="Media"/>
    <s v="Sí"/>
    <d v="2023-03-01T00:00:00"/>
    <n v="2"/>
    <x v="1"/>
    <n v="4120.7563636363639"/>
  </r>
  <r>
    <n v="14"/>
    <x v="4"/>
    <s v="HR-V"/>
    <n v="2022"/>
    <x v="13"/>
    <n v="8258517"/>
    <x v="1"/>
    <s v="Automática"/>
    <s v="Azul"/>
    <n v="4"/>
    <s v="SUV"/>
    <x v="0"/>
    <s v="2023-06-09"/>
    <s v="Usado"/>
    <x v="0"/>
    <x v="1"/>
    <s v="Media"/>
    <s v="No"/>
    <d v="2023-06-01T00:00:00"/>
    <n v="3"/>
    <x v="1"/>
    <n v="7507.7427272727273"/>
  </r>
  <r>
    <n v="15"/>
    <x v="1"/>
    <s v="Sandero"/>
    <n v="2019"/>
    <x v="14"/>
    <n v="18526043"/>
    <x v="1"/>
    <s v="Manual"/>
    <s v="Plateado"/>
    <n v="5"/>
    <s v="SUV"/>
    <x v="2"/>
    <s v="2023-08-11"/>
    <s v="Seminuevo"/>
    <x v="1"/>
    <x v="1"/>
    <s v="Media"/>
    <s v="Sí"/>
    <d v="2023-08-01T00:00:00"/>
    <n v="6"/>
    <x v="1"/>
    <n v="16841.857272727273"/>
  </r>
  <r>
    <n v="16"/>
    <x v="1"/>
    <s v="Kwid"/>
    <n v="2019"/>
    <x v="15"/>
    <n v="21895688"/>
    <x v="0"/>
    <s v="Manual"/>
    <s v="Plateado"/>
    <n v="5"/>
    <s v="Pickup"/>
    <x v="0"/>
    <s v="2024-03-10"/>
    <s v="Excelente"/>
    <x v="1"/>
    <x v="0"/>
    <s v="Alta"/>
    <s v="Sí"/>
    <d v="2024-03-01T00:00:00"/>
    <n v="6"/>
    <x v="2"/>
    <n v="19905.17090909091"/>
  </r>
  <r>
    <n v="17"/>
    <x v="8"/>
    <s v="Cruze"/>
    <n v="2017"/>
    <x v="16"/>
    <n v="10016668"/>
    <x v="2"/>
    <s v="Manual"/>
    <s v="Blanco"/>
    <n v="4"/>
    <s v="SUV"/>
    <x v="4"/>
    <s v="2024-10-05"/>
    <s v="Usado"/>
    <x v="0"/>
    <x v="1"/>
    <s v="Media"/>
    <s v="No"/>
    <d v="2024-10-01T00:00:00"/>
    <n v="8"/>
    <x v="0"/>
    <n v="9106.061818181819"/>
  </r>
  <r>
    <n v="18"/>
    <x v="3"/>
    <s v="2008"/>
    <n v="2015"/>
    <x v="17"/>
    <n v="21377222"/>
    <x v="0"/>
    <s v="Automática"/>
    <s v="Plateado"/>
    <n v="3"/>
    <s v="Sedán"/>
    <x v="0"/>
    <s v="2023-08-16"/>
    <s v="Seminuevo"/>
    <x v="0"/>
    <x v="0"/>
    <s v="Alta"/>
    <s v="No"/>
    <d v="2023-08-01T00:00:00"/>
    <n v="10"/>
    <x v="0"/>
    <n v="19433.838181818181"/>
  </r>
  <r>
    <n v="19"/>
    <x v="2"/>
    <s v="Focus"/>
    <n v="2022"/>
    <x v="18"/>
    <n v="8057917"/>
    <x v="0"/>
    <s v="Automática"/>
    <s v="Rojo"/>
    <n v="3"/>
    <s v="Sedán"/>
    <x v="0"/>
    <s v="2025-05-20"/>
    <s v="Usado"/>
    <x v="1"/>
    <x v="1"/>
    <s v="Media"/>
    <s v="Sí"/>
    <d v="2025-05-01T00:00:00"/>
    <n v="3"/>
    <x v="2"/>
    <n v="7325.3790909090912"/>
  </r>
  <r>
    <n v="20"/>
    <x v="7"/>
    <s v="Amarok"/>
    <n v="2019"/>
    <x v="19"/>
    <n v="18938963"/>
    <x v="1"/>
    <s v="Manual"/>
    <s v="Blanco"/>
    <n v="3"/>
    <s v="Sedán"/>
    <x v="4"/>
    <s v="2024-05-05"/>
    <s v="Excelente"/>
    <x v="1"/>
    <x v="0"/>
    <s v="Media"/>
    <s v="Sí"/>
    <d v="2024-05-01T00:00:00"/>
    <n v="6"/>
    <x v="0"/>
    <n v="17217.23909090909"/>
  </r>
  <r>
    <n v="21"/>
    <x v="0"/>
    <s v="Berlingo"/>
    <n v="2018"/>
    <x v="0"/>
    <n v="4392397"/>
    <x v="0"/>
    <s v="Automática"/>
    <s v="Rojo"/>
    <n v="3"/>
    <s v="Sedán"/>
    <x v="0"/>
    <s v="2023-08-04"/>
    <s v="Seminuevo"/>
    <x v="0"/>
    <x v="0"/>
    <s v="Media"/>
    <s v="No"/>
    <d v="2023-08-01T00:00:00"/>
    <n v="7"/>
    <x v="0"/>
    <n v="3993.088181818182"/>
  </r>
  <r>
    <n v="22"/>
    <x v="1"/>
    <s v="Kwid"/>
    <n v="2016"/>
    <x v="1"/>
    <n v="15550583"/>
    <x v="1"/>
    <s v="Automática"/>
    <s v="Plateado"/>
    <n v="5"/>
    <s v="Sedán"/>
    <x v="1"/>
    <s v="2025-03-02"/>
    <s v="Seminuevo"/>
    <x v="0"/>
    <x v="1"/>
    <s v="Media"/>
    <s v="No"/>
    <d v="2025-03-01T00:00:00"/>
    <n v="9"/>
    <x v="1"/>
    <n v="14136.893636363637"/>
  </r>
  <r>
    <n v="23"/>
    <x v="2"/>
    <s v="Fiesta"/>
    <n v="2020"/>
    <x v="2"/>
    <n v="18134749"/>
    <x v="1"/>
    <s v="Automática"/>
    <s v="Azul"/>
    <n v="3"/>
    <s v="SUV"/>
    <x v="2"/>
    <s v="2023-11-26"/>
    <s v="Excelente"/>
    <x v="1"/>
    <x v="0"/>
    <s v="Media"/>
    <s v="Sí"/>
    <d v="2023-11-01T00:00:00"/>
    <n v="5"/>
    <x v="0"/>
    <n v="16486.135454545456"/>
  </r>
  <r>
    <n v="24"/>
    <x v="3"/>
    <s v="208"/>
    <n v="2017"/>
    <x v="3"/>
    <n v="21316848"/>
    <x v="0"/>
    <s v="Automática"/>
    <s v="Gris"/>
    <n v="5"/>
    <s v="Pickup"/>
    <x v="3"/>
    <s v="2024-03-23"/>
    <s v="Excelente"/>
    <x v="0"/>
    <x v="0"/>
    <s v="Alta"/>
    <s v="No"/>
    <d v="2024-03-01T00:00:00"/>
    <n v="8"/>
    <x v="1"/>
    <n v="19378.952727272728"/>
  </r>
  <r>
    <n v="25"/>
    <x v="4"/>
    <s v="Fit"/>
    <n v="2017"/>
    <x v="4"/>
    <n v="22243508"/>
    <x v="1"/>
    <s v="Manual"/>
    <s v="Rojo"/>
    <n v="4"/>
    <s v="Pickup"/>
    <x v="1"/>
    <s v="2025-10-05"/>
    <s v="Seminuevo"/>
    <x v="1"/>
    <x v="1"/>
    <s v="Alta"/>
    <s v="Sí"/>
    <d v="2025-10-01T00:00:00"/>
    <n v="8"/>
    <x v="0"/>
    <n v="20221.370909090911"/>
  </r>
  <r>
    <n v="26"/>
    <x v="3"/>
    <s v="2008"/>
    <n v="2022"/>
    <x v="5"/>
    <n v="7701714"/>
    <x v="0"/>
    <s v="Manual"/>
    <s v="Gris"/>
    <n v="3"/>
    <s v="SUV"/>
    <x v="1"/>
    <s v="2023-10-16"/>
    <s v="Excelente"/>
    <x v="1"/>
    <x v="0"/>
    <s v="Media"/>
    <s v="Sí"/>
    <d v="2023-10-01T00:00:00"/>
    <n v="3"/>
    <x v="1"/>
    <n v="7001.5581818181818"/>
  </r>
  <r>
    <n v="27"/>
    <x v="5"/>
    <s v="Argo"/>
    <n v="2017"/>
    <x v="6"/>
    <n v="13727866"/>
    <x v="0"/>
    <s v="Automática"/>
    <s v="Plateado"/>
    <n v="5"/>
    <s v="SUV"/>
    <x v="1"/>
    <s v="2023-10-07"/>
    <s v="Usado"/>
    <x v="1"/>
    <x v="1"/>
    <s v="Media"/>
    <s v="Sí"/>
    <d v="2023-10-01T00:00:00"/>
    <n v="8"/>
    <x v="1"/>
    <n v="12479.878181818181"/>
  </r>
  <r>
    <n v="28"/>
    <x v="3"/>
    <s v="208"/>
    <n v="2015"/>
    <x v="7"/>
    <n v="19200946"/>
    <x v="2"/>
    <s v="Manual"/>
    <s v="Azul"/>
    <n v="3"/>
    <s v="Hatchback"/>
    <x v="3"/>
    <s v="2023-09-19"/>
    <s v="Excelente"/>
    <x v="0"/>
    <x v="1"/>
    <s v="Media"/>
    <s v="No"/>
    <d v="2023-09-01T00:00:00"/>
    <n v="10"/>
    <x v="0"/>
    <n v="17455.405454545453"/>
  </r>
  <r>
    <n v="29"/>
    <x v="2"/>
    <s v="Ranger"/>
    <n v="2021"/>
    <x v="8"/>
    <n v="21908286"/>
    <x v="1"/>
    <s v="Manual"/>
    <s v="Blanco"/>
    <n v="3"/>
    <s v="Sedán"/>
    <x v="0"/>
    <s v="2024-01-04"/>
    <s v="Usado"/>
    <x v="1"/>
    <x v="0"/>
    <s v="Alta"/>
    <s v="Sí"/>
    <d v="2024-01-01T00:00:00"/>
    <n v="4"/>
    <x v="2"/>
    <n v="19916.623636363638"/>
  </r>
  <r>
    <n v="30"/>
    <x v="6"/>
    <s v="Yaris"/>
    <n v="2017"/>
    <x v="9"/>
    <n v="23237584"/>
    <x v="0"/>
    <s v="Manual"/>
    <s v="Plateado"/>
    <n v="5"/>
    <s v="Pickup"/>
    <x v="2"/>
    <s v="2023-10-18"/>
    <s v="Seminuevo"/>
    <x v="1"/>
    <x v="0"/>
    <s v="Alta"/>
    <s v="Sí"/>
    <d v="2023-10-01T00:00:00"/>
    <n v="8"/>
    <x v="2"/>
    <n v="21125.076363636363"/>
  </r>
  <r>
    <n v="31"/>
    <x v="4"/>
    <s v="Civic"/>
    <n v="2023"/>
    <x v="10"/>
    <n v="23025850"/>
    <x v="2"/>
    <s v="Manual"/>
    <s v="Azul"/>
    <n v="3"/>
    <s v="Sedán"/>
    <x v="3"/>
    <s v="2025-08-22"/>
    <s v="Usado"/>
    <x v="1"/>
    <x v="1"/>
    <s v="Alta"/>
    <s v="Sí"/>
    <d v="2025-08-01T00:00:00"/>
    <n v="2"/>
    <x v="2"/>
    <n v="20932.590909090908"/>
  </r>
  <r>
    <n v="32"/>
    <x v="5"/>
    <s v="Toro"/>
    <n v="2015"/>
    <x v="11"/>
    <n v="20319193"/>
    <x v="2"/>
    <s v="Automática"/>
    <s v="Plateado"/>
    <n v="3"/>
    <s v="Pickup"/>
    <x v="1"/>
    <s v="2023-11-11"/>
    <s v="Usado"/>
    <x v="1"/>
    <x v="1"/>
    <s v="Alta"/>
    <s v="Sí"/>
    <d v="2023-11-01T00:00:00"/>
    <n v="10"/>
    <x v="2"/>
    <n v="18471.993636363637"/>
  </r>
  <r>
    <n v="33"/>
    <x v="7"/>
    <s v="Amarok"/>
    <n v="2023"/>
    <x v="12"/>
    <n v="4532832"/>
    <x v="1"/>
    <s v="Manual"/>
    <s v="Plateado"/>
    <n v="5"/>
    <s v="SUV"/>
    <x v="1"/>
    <s v="2023-03-11"/>
    <s v="Seminuevo"/>
    <x v="1"/>
    <x v="0"/>
    <s v="Media"/>
    <s v="Sí"/>
    <d v="2023-03-01T00:00:00"/>
    <n v="2"/>
    <x v="1"/>
    <n v="4120.7563636363639"/>
  </r>
  <r>
    <n v="34"/>
    <x v="4"/>
    <s v="HR-V"/>
    <n v="2022"/>
    <x v="13"/>
    <n v="8258517"/>
    <x v="1"/>
    <s v="Automática"/>
    <s v="Azul"/>
    <n v="4"/>
    <s v="SUV"/>
    <x v="0"/>
    <s v="2023-06-09"/>
    <s v="Usado"/>
    <x v="0"/>
    <x v="1"/>
    <s v="Media"/>
    <s v="No"/>
    <d v="2023-06-01T00:00:00"/>
    <n v="3"/>
    <x v="1"/>
    <n v="7507.7427272727273"/>
  </r>
  <r>
    <n v="35"/>
    <x v="1"/>
    <s v="Sandero"/>
    <n v="2019"/>
    <x v="14"/>
    <n v="18526043"/>
    <x v="1"/>
    <s v="Manual"/>
    <s v="Plateado"/>
    <n v="5"/>
    <s v="SUV"/>
    <x v="2"/>
    <s v="2023-08-11"/>
    <s v="Seminuevo"/>
    <x v="1"/>
    <x v="1"/>
    <s v="Media"/>
    <s v="Sí"/>
    <d v="2023-08-01T00:00:00"/>
    <n v="6"/>
    <x v="1"/>
    <n v="16841.857272727273"/>
  </r>
  <r>
    <n v="36"/>
    <x v="1"/>
    <s v="Kwid"/>
    <n v="2019"/>
    <x v="15"/>
    <n v="21895688"/>
    <x v="0"/>
    <s v="Manual"/>
    <s v="Plateado"/>
    <n v="5"/>
    <s v="Pickup"/>
    <x v="0"/>
    <s v="2024-03-10"/>
    <s v="Excelente"/>
    <x v="1"/>
    <x v="0"/>
    <s v="Alta"/>
    <s v="Sí"/>
    <d v="2024-03-01T00:00:00"/>
    <n v="6"/>
    <x v="2"/>
    <n v="19905.17090909091"/>
  </r>
  <r>
    <n v="37"/>
    <x v="8"/>
    <s v="Cruze"/>
    <n v="2017"/>
    <x v="16"/>
    <n v="10016668"/>
    <x v="2"/>
    <s v="Manual"/>
    <s v="Blanco"/>
    <n v="4"/>
    <s v="SUV"/>
    <x v="4"/>
    <s v="2024-10-05"/>
    <s v="Usado"/>
    <x v="0"/>
    <x v="1"/>
    <s v="Media"/>
    <s v="No"/>
    <d v="2024-10-01T00:00:00"/>
    <n v="8"/>
    <x v="0"/>
    <n v="9106.061818181819"/>
  </r>
  <r>
    <n v="38"/>
    <x v="3"/>
    <s v="2008"/>
    <n v="2015"/>
    <x v="17"/>
    <n v="21377222"/>
    <x v="0"/>
    <s v="Automática"/>
    <s v="Plateado"/>
    <n v="3"/>
    <s v="Sedán"/>
    <x v="0"/>
    <s v="2023-08-16"/>
    <s v="Seminuevo"/>
    <x v="0"/>
    <x v="0"/>
    <s v="Alta"/>
    <s v="No"/>
    <d v="2023-08-01T00:00:00"/>
    <n v="10"/>
    <x v="0"/>
    <n v="19433.838181818181"/>
  </r>
  <r>
    <n v="39"/>
    <x v="2"/>
    <s v="Focus"/>
    <n v="2022"/>
    <x v="18"/>
    <n v="8057917"/>
    <x v="0"/>
    <s v="Automática"/>
    <s v="Rojo"/>
    <n v="3"/>
    <s v="Sedán"/>
    <x v="0"/>
    <s v="2025-05-20"/>
    <s v="Usado"/>
    <x v="1"/>
    <x v="1"/>
    <s v="Media"/>
    <s v="Sí"/>
    <d v="2025-05-01T00:00:00"/>
    <n v="3"/>
    <x v="2"/>
    <n v="7325.3790909090912"/>
  </r>
  <r>
    <n v="40"/>
    <x v="7"/>
    <s v="Amarok"/>
    <n v="2019"/>
    <x v="19"/>
    <n v="18938963"/>
    <x v="1"/>
    <s v="Manual"/>
    <s v="Blanco"/>
    <n v="3"/>
    <s v="Sedán"/>
    <x v="4"/>
    <s v="2024-05-05"/>
    <s v="Excelente"/>
    <x v="1"/>
    <x v="0"/>
    <s v="Media"/>
    <s v="Sí"/>
    <d v="2024-05-01T00:00:00"/>
    <n v="6"/>
    <x v="0"/>
    <n v="17217.239090909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C00A8-F8A7-456F-BC7C-589D022E906C}" name="TablaDiná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62:E69" firstHeaderRow="1" firstDataRow="2" firstDataCol="1"/>
  <pivotFields count="22">
    <pivotField showAll="0"/>
    <pivotField showAll="0"/>
    <pivotField showAll="0"/>
    <pivotField showAll="0"/>
    <pivotField numFmtId="1" showAll="0"/>
    <pivotField numFmtId="164"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7" showAll="0"/>
    <pivotField showAll="0"/>
    <pivotField showAll="0"/>
    <pivotField dataField="1" numFmtId="166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Promedio de Precio_USD" fld="21" subtotal="average" baseField="11" baseItem="0" numFmtId="166"/>
  </dataFields>
  <chartFormats count="3"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F108E-DF69-4EE5-8980-AE57403C2590}" name="TablaDiná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71:C77" firstHeaderRow="0" firstDataRow="1" firstDataCol="1"/>
  <pivotFields count="22">
    <pivotField showAll="0"/>
    <pivotField axis="axisRow" showAll="0">
      <items count="10">
        <item x="8"/>
        <item x="0"/>
        <item x="5"/>
        <item x="2"/>
        <item x="4"/>
        <item x="3"/>
        <item x="1"/>
        <item x="6"/>
        <item x="7"/>
        <item t="default"/>
      </items>
    </pivotField>
    <pivotField showAll="0"/>
    <pivotField showAll="0"/>
    <pivotField axis="axisRow" numFmtId="1" showAll="0">
      <items count="21">
        <item x="14"/>
        <item x="5"/>
        <item x="13"/>
        <item x="3"/>
        <item x="12"/>
        <item x="1"/>
        <item x="6"/>
        <item x="9"/>
        <item x="8"/>
        <item x="11"/>
        <item x="10"/>
        <item x="18"/>
        <item x="15"/>
        <item x="17"/>
        <item x="2"/>
        <item x="7"/>
        <item x="16"/>
        <item x="4"/>
        <item x="0"/>
        <item x="19"/>
        <item t="default"/>
      </items>
    </pivotField>
    <pivotField numFmtId="164" showAll="0"/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>
      <items count="6">
        <item x="4"/>
        <item h="1" x="2"/>
        <item h="1" x="3"/>
        <item h="1" x="0"/>
        <item h="1"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17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</pivotFields>
  <rowFields count="5">
    <field x="20"/>
    <field x="15"/>
    <field x="1"/>
    <field x="14"/>
    <field x="4"/>
  </rowFields>
  <rowItems count="6">
    <i>
      <x/>
    </i>
    <i r="1">
      <x v="1"/>
    </i>
    <i r="2">
      <x/>
    </i>
    <i r="3">
      <x/>
    </i>
    <i r="4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Precio_USD" fld="21" subtotal="average" baseField="20" baseItem="0" numFmtId="166"/>
    <dataField name="Cantidad de publicaciones" fld="21" subtotal="count" baseField="20" baseItem="0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B105F-253A-481D-929A-6DDE44065A6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7:B27" firstHeaderRow="1" firstDataRow="1" firstDataCol="1"/>
  <pivotFields count="18">
    <pivotField dataField="1" showAll="0"/>
    <pivotField axis="axisRow" showAll="0">
      <items count="10">
        <item x="8"/>
        <item x="0"/>
        <item x="5"/>
        <item x="2"/>
        <item x="4"/>
        <item x="3"/>
        <item x="1"/>
        <item x="6"/>
        <item x="7"/>
        <item t="default"/>
      </items>
    </pivotField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uenta de ID_Auto" fld="0" subtotal="countNums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5E1AB-1D45-43C6-944D-B8E71F6D4F1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G40:H44" firstHeaderRow="1" firstDataRow="1" firstDataCol="1"/>
  <pivotFields count="18">
    <pivotField dataField="1" showAll="0"/>
    <pivotField showAll="0"/>
    <pivotField showAll="0"/>
    <pivotField showAll="0"/>
    <pivotField numFmtId="1" showAll="0"/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_Auto" fld="0" subtotal="countNums" baseField="6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E141F-3061-4B33-A772-1896708CCB5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3:B36" firstHeaderRow="1" firstDataRow="1" firstDataCol="1"/>
  <pivotFields count="18">
    <pivotField dataField="1" showAll="0"/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uenta de ID_Auto" fld="0" subtotal="countNums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41C8B-9597-4E6A-893B-73C6C97B7CB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12:K19" firstHeaderRow="1" firstDataRow="2" firstDataCol="1"/>
  <pivotFields count="18">
    <pivotField dataField="1" showAll="0"/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uenta de ID_Auto" fld="0" subtotal="countNums" baseField="0" baseItem="0"/>
  </dataFields>
  <chartFormats count="6">
    <chartFormat chart="0" format="3" series="1">
      <pivotArea type="data" outline="0" fieldPosition="0">
        <references count="1">
          <reference field="13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13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13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1" xr10:uid="{160D164C-0387-4923-8944-5BF3498ACCBE}" sourceName="Estado">
  <pivotTables>
    <pivotTable tabId="9" name="TablaDinámica1"/>
  </pivotTables>
  <data>
    <tabular pivotCacheId="2084684679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Combustible" xr10:uid="{988DDDF2-9351-4C2C-98FF-791D7FAABD1C}" sourceName="Tipo_Combustible">
  <pivotTables>
    <pivotTable tabId="9" name="TablaDinámica6"/>
  </pivotTables>
  <data>
    <tabular pivotCacheId="1894709790">
      <items count="3">
        <i x="2" s="1"/>
        <i x="1"/>
        <i x="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C9C38645-E0E3-4C67-A1FF-FBA4527045CB}" sourceName="Provincia">
  <pivotTables>
    <pivotTable tabId="9" name="TablaDinámica6"/>
  </pivotTables>
  <data>
    <tabular pivotCacheId="1894709790">
      <items count="5">
        <i x="4" s="1"/>
        <i x="3"/>
        <i x="1"/>
        <i x="2" nd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tado" xr10:uid="{B1E53FF6-2F9C-4C05-BEDF-F7E2AC6A09DC}" cache="SegmentaciónDeDatos_Estado1" caption="Estado" rowHeight="241300"/>
  <slicer name="Tipo_Combustible" xr10:uid="{87D071D0-1ACB-44A5-94B4-F7B49E5B9692}" cache="SegmentaciónDeDatos_Tipo_Combustible" caption="Tipo_Combustible" rowHeight="241300"/>
  <slicer name="Provincia" xr10:uid="{2EBD0E1A-252E-410C-8F06-54DB3DA52C2D}" cache="SegmentaciónDeDatos_Provincia" caption="Provinci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seCruda" displayName="tblBaseCruda" ref="A2:P42">
  <autoFilter ref="A2:P42" xr:uid="{00000000-0009-0000-0100-000001000000}"/>
  <tableColumns count="16">
    <tableColumn id="1" xr3:uid="{00000000-0010-0000-0000-000001000000}" name="ID_Auto"/>
    <tableColumn id="2" xr3:uid="{00000000-0010-0000-0000-000002000000}" name="Marca"/>
    <tableColumn id="3" xr3:uid="{00000000-0010-0000-0000-000003000000}" name="Modelo"/>
    <tableColumn id="4" xr3:uid="{00000000-0010-0000-0000-000004000000}" name="Año"/>
    <tableColumn id="5" xr3:uid="{00000000-0010-0000-0000-000005000000}" name="Kilometraje"/>
    <tableColumn id="6" xr3:uid="{00000000-0010-0000-0000-000006000000}" name="Precio_ARS"/>
    <tableColumn id="7" xr3:uid="{00000000-0010-0000-0000-000007000000}" name="Tipo_Combustible"/>
    <tableColumn id="8" xr3:uid="{00000000-0010-0000-0000-000008000000}" name="Transmisión"/>
    <tableColumn id="9" xr3:uid="{00000000-0010-0000-0000-000009000000}" name="Color"/>
    <tableColumn id="10" xr3:uid="{00000000-0010-0000-0000-00000A000000}" name="Puertas"/>
    <tableColumn id="11" xr3:uid="{00000000-0010-0000-0000-00000B000000}" name="Carrocería"/>
    <tableColumn id="12" xr3:uid="{00000000-0010-0000-0000-00000C000000}" name="Provincia"/>
    <tableColumn id="13" xr3:uid="{00000000-0010-0000-0000-00000D000000}" name="Fecha_Publicación"/>
    <tableColumn id="14" xr3:uid="{00000000-0010-0000-0000-00000E000000}" name="Estado"/>
    <tableColumn id="15" xr3:uid="{00000000-0010-0000-0000-00000F000000}" name="Origen"/>
    <tableColumn id="16" xr3:uid="{00000000-0010-0000-0000-000010000000}" name="Financiación"/>
  </tableColumns>
  <tableStyleInfo name="TableStyleDark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ataAutos" displayName="tblDataAutos" ref="A1:V41">
  <autoFilter ref="A1:V41" xr:uid="{00000000-0009-0000-0100-000002000000}"/>
  <tableColumns count="22">
    <tableColumn id="1" xr3:uid="{00000000-0010-0000-0100-000001000000}" name="ID_Auto"/>
    <tableColumn id="2" xr3:uid="{00000000-0010-0000-0100-000002000000}" name="Marca"/>
    <tableColumn id="3" xr3:uid="{00000000-0010-0000-0100-000003000000}" name="Modelo"/>
    <tableColumn id="4" xr3:uid="{00000000-0010-0000-0100-000004000000}" name="Año"/>
    <tableColumn id="5" xr3:uid="{00000000-0010-0000-0100-000005000000}" name="Kilometraje"/>
    <tableColumn id="6" xr3:uid="{00000000-0010-0000-0100-000006000000}" name="Precio_ARS"/>
    <tableColumn id="7" xr3:uid="{00000000-0010-0000-0100-000007000000}" name="Tipo_Combustible"/>
    <tableColumn id="8" xr3:uid="{00000000-0010-0000-0100-000008000000}" name="Transmisión"/>
    <tableColumn id="9" xr3:uid="{00000000-0010-0000-0100-000009000000}" name="Color"/>
    <tableColumn id="10" xr3:uid="{00000000-0010-0000-0100-00000A000000}" name="Puertas"/>
    <tableColumn id="11" xr3:uid="{00000000-0010-0000-0100-00000B000000}" name="Carrocería"/>
    <tableColumn id="12" xr3:uid="{00000000-0010-0000-0100-00000C000000}" name="Provincia"/>
    <tableColumn id="13" xr3:uid="{00000000-0010-0000-0100-00000D000000}" name="Fecha_Publicación"/>
    <tableColumn id="14" xr3:uid="{00000000-0010-0000-0100-00000E000000}" name="Estado"/>
    <tableColumn id="15" xr3:uid="{00000000-0010-0000-0100-00000F000000}" name="Origen"/>
    <tableColumn id="16" xr3:uid="{00000000-0010-0000-0100-000010000000}" name="Financiación"/>
    <tableColumn id="17" xr3:uid="{00000000-0010-0000-0100-000011000000}" name="Precio_Nivel"/>
    <tableColumn id="18" xr3:uid="{00000000-0010-0000-0100-000012000000}" name="Es_Nacional"/>
    <tableColumn id="19" xr3:uid="{00000000-0010-0000-0100-000013000000}" name="Mes"/>
    <tableColumn id="20" xr3:uid="{00000000-0010-0000-0100-000014000000}" name="Antigüedad (años)"/>
    <tableColumn id="21" xr3:uid="{00000000-0010-0000-0100-000015000000}" name="Segmento_KM"/>
    <tableColumn id="22" xr3:uid="{00000000-0010-0000-0100-000016000000}" name="Precio_USD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6" sqref="B16"/>
    </sheetView>
  </sheetViews>
  <sheetFormatPr baseColWidth="10" defaultColWidth="8.7265625" defaultRowHeight="14.5" x14ac:dyDescent="0.35"/>
  <cols>
    <col min="1" max="1" width="28.26953125" customWidth="1"/>
    <col min="2" max="2" width="67.453125" style="3" customWidth="1"/>
    <col min="3" max="3" width="8.7265625" customWidth="1"/>
  </cols>
  <sheetData>
    <row r="1" spans="1:2" x14ac:dyDescent="0.35">
      <c r="A1" s="1" t="s">
        <v>35</v>
      </c>
      <c r="B1" s="2" t="s">
        <v>36</v>
      </c>
    </row>
    <row r="2" spans="1:2" x14ac:dyDescent="0.35">
      <c r="A2" t="s">
        <v>37</v>
      </c>
      <c r="B2" s="3" t="s">
        <v>38</v>
      </c>
    </row>
    <row r="3" spans="1:2" ht="43.5" customHeight="1" x14ac:dyDescent="0.35">
      <c r="A3" t="s">
        <v>36</v>
      </c>
      <c r="B3" s="3" t="s">
        <v>39</v>
      </c>
    </row>
    <row r="4" spans="1:2" x14ac:dyDescent="0.35">
      <c r="A4" t="s">
        <v>40</v>
      </c>
      <c r="B4" s="3" t="s">
        <v>41</v>
      </c>
    </row>
    <row r="5" spans="1:2" x14ac:dyDescent="0.35">
      <c r="A5" t="s">
        <v>42</v>
      </c>
      <c r="B5" s="3" t="s">
        <v>43</v>
      </c>
    </row>
    <row r="6" spans="1:2" ht="29" customHeight="1" x14ac:dyDescent="0.35">
      <c r="A6" t="s">
        <v>44</v>
      </c>
      <c r="B6" s="3" t="s">
        <v>45</v>
      </c>
    </row>
    <row r="7" spans="1:2" x14ac:dyDescent="0.35">
      <c r="A7" t="s">
        <v>46</v>
      </c>
      <c r="B7" s="3" t="s">
        <v>47</v>
      </c>
    </row>
    <row r="8" spans="1:2" x14ac:dyDescent="0.35">
      <c r="A8" t="s">
        <v>48</v>
      </c>
      <c r="B8" s="3" t="s">
        <v>49</v>
      </c>
    </row>
    <row r="10" spans="1:2" ht="15" customHeight="1" x14ac:dyDescent="0.35"/>
    <row r="11" spans="1:2" ht="16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2"/>
  <sheetViews>
    <sheetView zoomScale="46" workbookViewId="0">
      <pane ySplit="2" topLeftCell="A3" activePane="bottomLeft" state="frozen"/>
      <selection pane="bottomLeft" activeCell="H2" sqref="H2"/>
    </sheetView>
  </sheetViews>
  <sheetFormatPr baseColWidth="10" defaultColWidth="8.7265625" defaultRowHeight="14.5" x14ac:dyDescent="0.35"/>
  <cols>
    <col min="1" max="1" width="8.54296875" bestFit="1" customWidth="1"/>
    <col min="2" max="2" width="12.36328125" customWidth="1"/>
    <col min="3" max="3" width="9.1796875" style="9" bestFit="1" customWidth="1"/>
    <col min="4" max="4" width="6" bestFit="1" customWidth="1"/>
    <col min="5" max="5" width="11.36328125" style="11" bestFit="1" customWidth="1"/>
    <col min="6" max="6" width="12.54296875" style="5" bestFit="1" customWidth="1"/>
    <col min="7" max="7" width="17.6328125" customWidth="1"/>
    <col min="8" max="8" width="12.1796875" bestFit="1" customWidth="1"/>
    <col min="9" max="9" width="9.54296875" bestFit="1" customWidth="1"/>
    <col min="10" max="10" width="8.36328125" bestFit="1" customWidth="1"/>
    <col min="11" max="11" width="11.36328125" bestFit="1" customWidth="1"/>
    <col min="12" max="12" width="13.36328125" bestFit="1" customWidth="1"/>
    <col min="13" max="13" width="19.453125" style="7" bestFit="1" customWidth="1"/>
    <col min="14" max="14" width="11.54296875" bestFit="1" customWidth="1"/>
    <col min="15" max="15" width="10.36328125" bestFit="1" customWidth="1"/>
    <col min="16" max="16" width="11.08984375" bestFit="1" customWidth="1"/>
    <col min="17" max="17" width="11.26953125" customWidth="1"/>
    <col min="18" max="18" width="10.81640625" bestFit="1" customWidth="1"/>
  </cols>
  <sheetData>
    <row r="1" spans="1:18" x14ac:dyDescent="0.35">
      <c r="A1" s="39" t="s">
        <v>50</v>
      </c>
      <c r="B1" s="38"/>
      <c r="C1" s="40"/>
      <c r="D1" s="38"/>
      <c r="E1" s="41"/>
      <c r="F1" s="42"/>
      <c r="G1" s="38"/>
      <c r="H1" s="38"/>
      <c r="I1" s="38"/>
      <c r="J1" s="38"/>
      <c r="K1" s="38"/>
      <c r="L1" s="38"/>
      <c r="M1" s="43"/>
      <c r="N1" s="38"/>
      <c r="O1" s="38"/>
      <c r="P1" s="38"/>
      <c r="Q1" s="38"/>
      <c r="R1" s="38"/>
    </row>
    <row r="2" spans="1:18" x14ac:dyDescent="0.35">
      <c r="A2" t="s">
        <v>51</v>
      </c>
      <c r="B2" t="s">
        <v>6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7</v>
      </c>
      <c r="M2" t="s">
        <v>61</v>
      </c>
      <c r="N2" t="s">
        <v>9</v>
      </c>
      <c r="O2" t="s">
        <v>62</v>
      </c>
      <c r="P2" t="s">
        <v>63</v>
      </c>
    </row>
    <row r="3" spans="1:18" x14ac:dyDescent="0.35">
      <c r="A3">
        <v>1</v>
      </c>
      <c r="B3" t="s">
        <v>12</v>
      </c>
      <c r="C3" t="s">
        <v>64</v>
      </c>
      <c r="D3">
        <v>2018</v>
      </c>
      <c r="E3">
        <v>140300</v>
      </c>
      <c r="F3">
        <v>4392397</v>
      </c>
      <c r="G3" t="s">
        <v>65</v>
      </c>
      <c r="H3" t="s">
        <v>66</v>
      </c>
      <c r="I3" t="s">
        <v>67</v>
      </c>
      <c r="J3">
        <v>3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</row>
    <row r="4" spans="1:18" x14ac:dyDescent="0.35">
      <c r="A4">
        <v>2</v>
      </c>
      <c r="B4" t="s">
        <v>17</v>
      </c>
      <c r="C4" t="s">
        <v>74</v>
      </c>
      <c r="D4">
        <v>2016</v>
      </c>
      <c r="E4">
        <v>44429</v>
      </c>
      <c r="F4">
        <v>15550583</v>
      </c>
      <c r="G4" t="s">
        <v>75</v>
      </c>
      <c r="H4" t="s">
        <v>66</v>
      </c>
      <c r="I4" t="s">
        <v>76</v>
      </c>
      <c r="J4">
        <v>5</v>
      </c>
      <c r="K4" t="s">
        <v>68</v>
      </c>
      <c r="L4" t="s">
        <v>77</v>
      </c>
      <c r="M4" t="s">
        <v>78</v>
      </c>
      <c r="N4" t="s">
        <v>71</v>
      </c>
      <c r="O4" t="s">
        <v>72</v>
      </c>
      <c r="P4" t="s">
        <v>79</v>
      </c>
    </row>
    <row r="5" spans="1:18" x14ac:dyDescent="0.35">
      <c r="A5">
        <v>3</v>
      </c>
      <c r="B5" t="s">
        <v>14</v>
      </c>
      <c r="C5" t="s">
        <v>80</v>
      </c>
      <c r="D5">
        <v>2020</v>
      </c>
      <c r="E5">
        <v>118020</v>
      </c>
      <c r="F5">
        <v>18134749</v>
      </c>
      <c r="G5" t="s">
        <v>75</v>
      </c>
      <c r="H5" t="s">
        <v>66</v>
      </c>
      <c r="I5" t="s">
        <v>81</v>
      </c>
      <c r="J5">
        <v>3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73</v>
      </c>
    </row>
    <row r="6" spans="1:18" x14ac:dyDescent="0.35">
      <c r="A6">
        <v>4</v>
      </c>
      <c r="B6" t="s">
        <v>16</v>
      </c>
      <c r="C6" t="s">
        <v>87</v>
      </c>
      <c r="D6">
        <v>2017</v>
      </c>
      <c r="E6">
        <v>28856</v>
      </c>
      <c r="F6">
        <v>21316848</v>
      </c>
      <c r="G6" t="s">
        <v>65</v>
      </c>
      <c r="H6" t="s">
        <v>66</v>
      </c>
      <c r="I6" t="s">
        <v>88</v>
      </c>
      <c r="J6">
        <v>5</v>
      </c>
      <c r="K6" t="s">
        <v>89</v>
      </c>
      <c r="L6" t="s">
        <v>90</v>
      </c>
      <c r="M6" t="s">
        <v>91</v>
      </c>
      <c r="N6" t="s">
        <v>85</v>
      </c>
      <c r="O6" t="s">
        <v>72</v>
      </c>
      <c r="P6" t="s">
        <v>73</v>
      </c>
    </row>
    <row r="7" spans="1:18" x14ac:dyDescent="0.35">
      <c r="A7">
        <v>5</v>
      </c>
      <c r="B7" t="s">
        <v>15</v>
      </c>
      <c r="C7" t="s">
        <v>92</v>
      </c>
      <c r="D7">
        <v>2017</v>
      </c>
      <c r="E7">
        <v>137684</v>
      </c>
      <c r="F7">
        <v>22243508</v>
      </c>
      <c r="G7" t="s">
        <v>75</v>
      </c>
      <c r="H7" t="s">
        <v>93</v>
      </c>
      <c r="I7" t="s">
        <v>67</v>
      </c>
      <c r="J7">
        <v>4</v>
      </c>
      <c r="K7" t="s">
        <v>89</v>
      </c>
      <c r="L7" t="s">
        <v>77</v>
      </c>
      <c r="M7" t="s">
        <v>94</v>
      </c>
      <c r="N7" t="s">
        <v>71</v>
      </c>
      <c r="O7" t="s">
        <v>86</v>
      </c>
      <c r="P7" t="s">
        <v>79</v>
      </c>
    </row>
    <row r="8" spans="1:18" x14ac:dyDescent="0.35">
      <c r="A8">
        <v>6</v>
      </c>
      <c r="B8" t="s">
        <v>16</v>
      </c>
      <c r="C8" t="s">
        <v>95</v>
      </c>
      <c r="D8">
        <v>2022</v>
      </c>
      <c r="E8">
        <v>25965</v>
      </c>
      <c r="F8">
        <v>7701714</v>
      </c>
      <c r="G8" t="s">
        <v>65</v>
      </c>
      <c r="H8" t="s">
        <v>93</v>
      </c>
      <c r="I8" t="s">
        <v>88</v>
      </c>
      <c r="J8">
        <v>3</v>
      </c>
      <c r="K8" t="s">
        <v>82</v>
      </c>
      <c r="L8" t="s">
        <v>77</v>
      </c>
      <c r="M8" t="s">
        <v>96</v>
      </c>
      <c r="N8" t="s">
        <v>85</v>
      </c>
      <c r="O8" t="s">
        <v>86</v>
      </c>
      <c r="P8" t="s">
        <v>73</v>
      </c>
    </row>
    <row r="9" spans="1:18" x14ac:dyDescent="0.35">
      <c r="A9">
        <v>7</v>
      </c>
      <c r="B9" t="s">
        <v>13</v>
      </c>
      <c r="C9" t="s">
        <v>97</v>
      </c>
      <c r="D9">
        <v>2017</v>
      </c>
      <c r="E9">
        <v>44801</v>
      </c>
      <c r="F9">
        <v>13727866</v>
      </c>
      <c r="G9" t="s">
        <v>65</v>
      </c>
      <c r="H9" t="s">
        <v>66</v>
      </c>
      <c r="I9" t="s">
        <v>76</v>
      </c>
      <c r="J9">
        <v>5</v>
      </c>
      <c r="K9" t="s">
        <v>82</v>
      </c>
      <c r="L9" t="s">
        <v>77</v>
      </c>
      <c r="M9" t="s">
        <v>98</v>
      </c>
      <c r="N9" t="s">
        <v>99</v>
      </c>
      <c r="O9" t="s">
        <v>86</v>
      </c>
      <c r="P9" t="s">
        <v>79</v>
      </c>
    </row>
    <row r="10" spans="1:18" x14ac:dyDescent="0.35">
      <c r="A10">
        <v>8</v>
      </c>
      <c r="B10" t="s">
        <v>16</v>
      </c>
      <c r="C10" t="s">
        <v>87</v>
      </c>
      <c r="D10">
        <v>2015</v>
      </c>
      <c r="E10">
        <v>125599</v>
      </c>
      <c r="F10">
        <v>19200946</v>
      </c>
      <c r="G10" t="s">
        <v>100</v>
      </c>
      <c r="H10" t="s">
        <v>93</v>
      </c>
      <c r="I10" t="s">
        <v>81</v>
      </c>
      <c r="J10">
        <v>3</v>
      </c>
      <c r="K10" t="s">
        <v>101</v>
      </c>
      <c r="L10" t="s">
        <v>90</v>
      </c>
      <c r="M10" t="s">
        <v>102</v>
      </c>
      <c r="N10" t="s">
        <v>85</v>
      </c>
      <c r="O10" t="s">
        <v>72</v>
      </c>
      <c r="P10" t="s">
        <v>79</v>
      </c>
    </row>
    <row r="11" spans="1:18" x14ac:dyDescent="0.35">
      <c r="A11">
        <v>9</v>
      </c>
      <c r="B11" t="s">
        <v>14</v>
      </c>
      <c r="C11" t="s">
        <v>103</v>
      </c>
      <c r="D11">
        <v>2021</v>
      </c>
      <c r="E11">
        <v>70467</v>
      </c>
      <c r="F11">
        <v>21908286</v>
      </c>
      <c r="G11" t="s">
        <v>75</v>
      </c>
      <c r="H11" t="s">
        <v>93</v>
      </c>
      <c r="I11" t="s">
        <v>104</v>
      </c>
      <c r="J11">
        <v>3</v>
      </c>
      <c r="K11" t="s">
        <v>68</v>
      </c>
      <c r="L11" t="s">
        <v>69</v>
      </c>
      <c r="M11" t="s">
        <v>105</v>
      </c>
      <c r="N11" t="s">
        <v>99</v>
      </c>
      <c r="O11" t="s">
        <v>86</v>
      </c>
      <c r="P11" t="s">
        <v>73</v>
      </c>
    </row>
    <row r="12" spans="1:18" x14ac:dyDescent="0.35">
      <c r="A12">
        <v>10</v>
      </c>
      <c r="B12" t="s">
        <v>18</v>
      </c>
      <c r="C12" t="s">
        <v>106</v>
      </c>
      <c r="D12">
        <v>2017</v>
      </c>
      <c r="E12">
        <v>52055</v>
      </c>
      <c r="F12">
        <v>23237584</v>
      </c>
      <c r="G12" t="s">
        <v>65</v>
      </c>
      <c r="H12" t="s">
        <v>93</v>
      </c>
      <c r="I12" t="s">
        <v>76</v>
      </c>
      <c r="J12">
        <v>5</v>
      </c>
      <c r="K12" t="s">
        <v>89</v>
      </c>
      <c r="L12" t="s">
        <v>83</v>
      </c>
      <c r="M12" t="s">
        <v>107</v>
      </c>
      <c r="N12" t="s">
        <v>71</v>
      </c>
      <c r="O12" t="s">
        <v>86</v>
      </c>
      <c r="P12" t="s">
        <v>73</v>
      </c>
    </row>
    <row r="13" spans="1:18" x14ac:dyDescent="0.35">
      <c r="A13">
        <v>11</v>
      </c>
      <c r="B13" t="s">
        <v>15</v>
      </c>
      <c r="C13" t="s">
        <v>108</v>
      </c>
      <c r="D13">
        <v>2023</v>
      </c>
      <c r="E13">
        <v>82137</v>
      </c>
      <c r="F13">
        <v>23025850</v>
      </c>
      <c r="G13" t="s">
        <v>100</v>
      </c>
      <c r="H13" t="s">
        <v>93</v>
      </c>
      <c r="I13" t="s">
        <v>81</v>
      </c>
      <c r="J13">
        <v>3</v>
      </c>
      <c r="K13" t="s">
        <v>68</v>
      </c>
      <c r="L13" t="s">
        <v>90</v>
      </c>
      <c r="M13" t="s">
        <v>109</v>
      </c>
      <c r="N13" t="s">
        <v>99</v>
      </c>
      <c r="O13" t="s">
        <v>86</v>
      </c>
      <c r="P13" t="s">
        <v>79</v>
      </c>
    </row>
    <row r="14" spans="1:18" x14ac:dyDescent="0.35">
      <c r="A14">
        <v>12</v>
      </c>
      <c r="B14" t="s">
        <v>13</v>
      </c>
      <c r="C14" t="s">
        <v>110</v>
      </c>
      <c r="D14">
        <v>2015</v>
      </c>
      <c r="E14">
        <v>77417</v>
      </c>
      <c r="F14">
        <v>20319193</v>
      </c>
      <c r="G14" t="s">
        <v>100</v>
      </c>
      <c r="H14" t="s">
        <v>66</v>
      </c>
      <c r="I14" t="s">
        <v>76</v>
      </c>
      <c r="J14">
        <v>3</v>
      </c>
      <c r="K14" t="s">
        <v>89</v>
      </c>
      <c r="L14" t="s">
        <v>77</v>
      </c>
      <c r="M14" t="s">
        <v>111</v>
      </c>
      <c r="N14" t="s">
        <v>99</v>
      </c>
      <c r="O14" t="s">
        <v>86</v>
      </c>
      <c r="P14" t="s">
        <v>79</v>
      </c>
    </row>
    <row r="15" spans="1:18" x14ac:dyDescent="0.35">
      <c r="A15">
        <v>13</v>
      </c>
      <c r="B15" t="s">
        <v>19</v>
      </c>
      <c r="C15" t="s">
        <v>112</v>
      </c>
      <c r="D15">
        <v>2023</v>
      </c>
      <c r="E15">
        <v>28861</v>
      </c>
      <c r="F15">
        <v>4532832</v>
      </c>
      <c r="G15" t="s">
        <v>75</v>
      </c>
      <c r="H15" t="s">
        <v>93</v>
      </c>
      <c r="I15" t="s">
        <v>76</v>
      </c>
      <c r="J15">
        <v>5</v>
      </c>
      <c r="K15" t="s">
        <v>82</v>
      </c>
      <c r="L15" t="s">
        <v>77</v>
      </c>
      <c r="M15" t="s">
        <v>113</v>
      </c>
      <c r="N15" t="s">
        <v>71</v>
      </c>
      <c r="O15" t="s">
        <v>86</v>
      </c>
      <c r="P15" t="s">
        <v>73</v>
      </c>
    </row>
    <row r="16" spans="1:18" x14ac:dyDescent="0.35">
      <c r="A16">
        <v>14</v>
      </c>
      <c r="B16" t="s">
        <v>15</v>
      </c>
      <c r="C16" t="s">
        <v>114</v>
      </c>
      <c r="D16">
        <v>2022</v>
      </c>
      <c r="E16">
        <v>27118</v>
      </c>
      <c r="F16">
        <v>8258517</v>
      </c>
      <c r="G16" t="s">
        <v>75</v>
      </c>
      <c r="H16" t="s">
        <v>66</v>
      </c>
      <c r="I16" t="s">
        <v>81</v>
      </c>
      <c r="J16">
        <v>4</v>
      </c>
      <c r="K16" t="s">
        <v>82</v>
      </c>
      <c r="L16" t="s">
        <v>69</v>
      </c>
      <c r="M16" t="s">
        <v>115</v>
      </c>
      <c r="N16" t="s">
        <v>99</v>
      </c>
      <c r="O16" t="s">
        <v>72</v>
      </c>
      <c r="P16" t="s">
        <v>79</v>
      </c>
    </row>
    <row r="17" spans="1:16" x14ac:dyDescent="0.35">
      <c r="A17">
        <v>15</v>
      </c>
      <c r="B17" t="s">
        <v>17</v>
      </c>
      <c r="C17" t="s">
        <v>116</v>
      </c>
      <c r="D17">
        <v>2019</v>
      </c>
      <c r="E17">
        <v>23581</v>
      </c>
      <c r="F17">
        <v>18526043</v>
      </c>
      <c r="G17" t="s">
        <v>75</v>
      </c>
      <c r="H17" t="s">
        <v>93</v>
      </c>
      <c r="I17" t="s">
        <v>76</v>
      </c>
      <c r="J17">
        <v>5</v>
      </c>
      <c r="K17" t="s">
        <v>82</v>
      </c>
      <c r="L17" t="s">
        <v>83</v>
      </c>
      <c r="M17" t="s">
        <v>117</v>
      </c>
      <c r="N17" t="s">
        <v>71</v>
      </c>
      <c r="O17" t="s">
        <v>86</v>
      </c>
      <c r="P17" t="s">
        <v>79</v>
      </c>
    </row>
    <row r="18" spans="1:16" x14ac:dyDescent="0.35">
      <c r="A18">
        <v>16</v>
      </c>
      <c r="B18" t="s">
        <v>17</v>
      </c>
      <c r="C18" t="s">
        <v>74</v>
      </c>
      <c r="D18">
        <v>2019</v>
      </c>
      <c r="E18">
        <v>94325</v>
      </c>
      <c r="F18">
        <v>21895688</v>
      </c>
      <c r="G18" t="s">
        <v>65</v>
      </c>
      <c r="H18" t="s">
        <v>93</v>
      </c>
      <c r="I18" t="s">
        <v>76</v>
      </c>
      <c r="J18">
        <v>5</v>
      </c>
      <c r="K18" t="s">
        <v>89</v>
      </c>
      <c r="L18" t="s">
        <v>69</v>
      </c>
      <c r="M18" t="s">
        <v>118</v>
      </c>
      <c r="N18" t="s">
        <v>85</v>
      </c>
      <c r="O18" t="s">
        <v>86</v>
      </c>
      <c r="P18" t="s">
        <v>73</v>
      </c>
    </row>
    <row r="19" spans="1:16" x14ac:dyDescent="0.35">
      <c r="A19">
        <v>17</v>
      </c>
      <c r="B19" t="s">
        <v>11</v>
      </c>
      <c r="C19" t="s">
        <v>119</v>
      </c>
      <c r="D19">
        <v>2017</v>
      </c>
      <c r="E19">
        <v>137001</v>
      </c>
      <c r="F19">
        <v>10016668</v>
      </c>
      <c r="G19" t="s">
        <v>100</v>
      </c>
      <c r="H19" t="s">
        <v>93</v>
      </c>
      <c r="I19" t="s">
        <v>104</v>
      </c>
      <c r="J19">
        <v>4</v>
      </c>
      <c r="K19" t="s">
        <v>82</v>
      </c>
      <c r="L19" t="s">
        <v>120</v>
      </c>
      <c r="M19" t="s">
        <v>121</v>
      </c>
      <c r="N19" t="s">
        <v>99</v>
      </c>
      <c r="O19" t="s">
        <v>72</v>
      </c>
      <c r="P19" t="s">
        <v>79</v>
      </c>
    </row>
    <row r="20" spans="1:16" x14ac:dyDescent="0.35">
      <c r="A20">
        <v>18</v>
      </c>
      <c r="B20" t="s">
        <v>16</v>
      </c>
      <c r="C20" t="s">
        <v>95</v>
      </c>
      <c r="D20">
        <v>2015</v>
      </c>
      <c r="E20">
        <v>104744</v>
      </c>
      <c r="F20">
        <v>21377222</v>
      </c>
      <c r="G20" t="s">
        <v>65</v>
      </c>
      <c r="H20" t="s">
        <v>66</v>
      </c>
      <c r="I20" t="s">
        <v>76</v>
      </c>
      <c r="J20">
        <v>3</v>
      </c>
      <c r="K20" t="s">
        <v>68</v>
      </c>
      <c r="L20" t="s">
        <v>69</v>
      </c>
      <c r="M20" t="s">
        <v>122</v>
      </c>
      <c r="N20" t="s">
        <v>71</v>
      </c>
      <c r="O20" t="s">
        <v>72</v>
      </c>
      <c r="P20" t="s">
        <v>73</v>
      </c>
    </row>
    <row r="21" spans="1:16" x14ac:dyDescent="0.35">
      <c r="A21">
        <v>19</v>
      </c>
      <c r="B21" t="s">
        <v>14</v>
      </c>
      <c r="C21" t="s">
        <v>123</v>
      </c>
      <c r="D21">
        <v>2022</v>
      </c>
      <c r="E21">
        <v>91450</v>
      </c>
      <c r="F21">
        <v>8057917</v>
      </c>
      <c r="G21" t="s">
        <v>65</v>
      </c>
      <c r="H21" t="s">
        <v>66</v>
      </c>
      <c r="I21" t="s">
        <v>67</v>
      </c>
      <c r="J21">
        <v>3</v>
      </c>
      <c r="K21" t="s">
        <v>68</v>
      </c>
      <c r="L21" t="s">
        <v>69</v>
      </c>
      <c r="M21" t="s">
        <v>124</v>
      </c>
      <c r="N21" t="s">
        <v>99</v>
      </c>
      <c r="O21" t="s">
        <v>86</v>
      </c>
      <c r="P21" t="s">
        <v>79</v>
      </c>
    </row>
    <row r="22" spans="1:16" x14ac:dyDescent="0.35">
      <c r="A22">
        <v>20</v>
      </c>
      <c r="B22" t="s">
        <v>19</v>
      </c>
      <c r="C22" t="s">
        <v>112</v>
      </c>
      <c r="D22">
        <v>2019</v>
      </c>
      <c r="E22">
        <v>141731</v>
      </c>
      <c r="F22">
        <v>18938963</v>
      </c>
      <c r="G22" t="s">
        <v>75</v>
      </c>
      <c r="H22" t="s">
        <v>93</v>
      </c>
      <c r="I22" t="s">
        <v>104</v>
      </c>
      <c r="J22">
        <v>3</v>
      </c>
      <c r="K22" t="s">
        <v>68</v>
      </c>
      <c r="L22" t="s">
        <v>120</v>
      </c>
      <c r="M22" t="s">
        <v>125</v>
      </c>
      <c r="N22" t="s">
        <v>85</v>
      </c>
      <c r="O22" t="s">
        <v>86</v>
      </c>
      <c r="P22" t="s">
        <v>73</v>
      </c>
    </row>
    <row r="23" spans="1:16" x14ac:dyDescent="0.35">
      <c r="A23">
        <v>21</v>
      </c>
      <c r="B23" t="s">
        <v>12</v>
      </c>
      <c r="C23" t="s">
        <v>64</v>
      </c>
      <c r="D23">
        <v>2018</v>
      </c>
      <c r="E23">
        <v>140300</v>
      </c>
      <c r="F23">
        <v>4392397</v>
      </c>
      <c r="G23" t="s">
        <v>65</v>
      </c>
      <c r="H23" t="s">
        <v>66</v>
      </c>
      <c r="I23" t="s">
        <v>67</v>
      </c>
      <c r="J23">
        <v>3</v>
      </c>
      <c r="K23" t="s">
        <v>68</v>
      </c>
      <c r="L23" t="s">
        <v>69</v>
      </c>
      <c r="M23" t="s">
        <v>70</v>
      </c>
      <c r="N23" t="s">
        <v>71</v>
      </c>
      <c r="O23" t="s">
        <v>72</v>
      </c>
      <c r="P23" t="s">
        <v>73</v>
      </c>
    </row>
    <row r="24" spans="1:16" x14ac:dyDescent="0.35">
      <c r="A24">
        <v>22</v>
      </c>
      <c r="B24" t="s">
        <v>17</v>
      </c>
      <c r="C24" t="s">
        <v>74</v>
      </c>
      <c r="D24">
        <v>2016</v>
      </c>
      <c r="E24">
        <v>44429</v>
      </c>
      <c r="F24">
        <v>15550583</v>
      </c>
      <c r="G24" t="s">
        <v>75</v>
      </c>
      <c r="H24" t="s">
        <v>66</v>
      </c>
      <c r="I24" t="s">
        <v>76</v>
      </c>
      <c r="J24">
        <v>5</v>
      </c>
      <c r="K24" t="s">
        <v>68</v>
      </c>
      <c r="L24" t="s">
        <v>77</v>
      </c>
      <c r="M24" t="s">
        <v>78</v>
      </c>
      <c r="N24" t="s">
        <v>71</v>
      </c>
      <c r="O24" t="s">
        <v>72</v>
      </c>
      <c r="P24" t="s">
        <v>79</v>
      </c>
    </row>
    <row r="25" spans="1:16" x14ac:dyDescent="0.35">
      <c r="A25">
        <v>23</v>
      </c>
      <c r="B25" t="s">
        <v>14</v>
      </c>
      <c r="C25" t="s">
        <v>80</v>
      </c>
      <c r="D25">
        <v>2020</v>
      </c>
      <c r="E25">
        <v>118020</v>
      </c>
      <c r="F25">
        <v>18134749</v>
      </c>
      <c r="G25" t="s">
        <v>75</v>
      </c>
      <c r="H25" t="s">
        <v>66</v>
      </c>
      <c r="I25" t="s">
        <v>81</v>
      </c>
      <c r="J25">
        <v>3</v>
      </c>
      <c r="K25" t="s">
        <v>82</v>
      </c>
      <c r="L25" t="s">
        <v>83</v>
      </c>
      <c r="M25" t="s">
        <v>84</v>
      </c>
      <c r="N25" t="s">
        <v>85</v>
      </c>
      <c r="O25" t="s">
        <v>86</v>
      </c>
      <c r="P25" t="s">
        <v>73</v>
      </c>
    </row>
    <row r="26" spans="1:16" x14ac:dyDescent="0.35">
      <c r="A26">
        <v>24</v>
      </c>
      <c r="B26" t="s">
        <v>16</v>
      </c>
      <c r="C26" t="s">
        <v>87</v>
      </c>
      <c r="D26">
        <v>2017</v>
      </c>
      <c r="E26">
        <v>28856</v>
      </c>
      <c r="F26">
        <v>21316848</v>
      </c>
      <c r="G26" t="s">
        <v>65</v>
      </c>
      <c r="H26" t="s">
        <v>66</v>
      </c>
      <c r="I26" t="s">
        <v>88</v>
      </c>
      <c r="J26">
        <v>5</v>
      </c>
      <c r="K26" t="s">
        <v>89</v>
      </c>
      <c r="L26" t="s">
        <v>90</v>
      </c>
      <c r="M26" t="s">
        <v>91</v>
      </c>
      <c r="N26" t="s">
        <v>85</v>
      </c>
      <c r="O26" t="s">
        <v>72</v>
      </c>
      <c r="P26" t="s">
        <v>73</v>
      </c>
    </row>
    <row r="27" spans="1:16" x14ac:dyDescent="0.35">
      <c r="A27">
        <v>25</v>
      </c>
      <c r="B27" t="s">
        <v>15</v>
      </c>
      <c r="C27" t="s">
        <v>92</v>
      </c>
      <c r="D27">
        <v>2017</v>
      </c>
      <c r="E27">
        <v>137684</v>
      </c>
      <c r="F27">
        <v>22243508</v>
      </c>
      <c r="G27" t="s">
        <v>75</v>
      </c>
      <c r="H27" t="s">
        <v>93</v>
      </c>
      <c r="I27" t="s">
        <v>67</v>
      </c>
      <c r="J27">
        <v>4</v>
      </c>
      <c r="K27" t="s">
        <v>89</v>
      </c>
      <c r="L27" t="s">
        <v>77</v>
      </c>
      <c r="M27" t="s">
        <v>94</v>
      </c>
      <c r="N27" t="s">
        <v>71</v>
      </c>
      <c r="O27" t="s">
        <v>86</v>
      </c>
      <c r="P27" t="s">
        <v>79</v>
      </c>
    </row>
    <row r="28" spans="1:16" x14ac:dyDescent="0.35">
      <c r="A28">
        <v>26</v>
      </c>
      <c r="B28" t="s">
        <v>16</v>
      </c>
      <c r="C28" t="s">
        <v>95</v>
      </c>
      <c r="D28">
        <v>2022</v>
      </c>
      <c r="E28">
        <v>25965</v>
      </c>
      <c r="F28">
        <v>7701714</v>
      </c>
      <c r="G28" t="s">
        <v>65</v>
      </c>
      <c r="H28" t="s">
        <v>93</v>
      </c>
      <c r="I28" t="s">
        <v>88</v>
      </c>
      <c r="J28">
        <v>3</v>
      </c>
      <c r="K28" t="s">
        <v>82</v>
      </c>
      <c r="L28" t="s">
        <v>77</v>
      </c>
      <c r="M28" t="s">
        <v>96</v>
      </c>
      <c r="N28" t="s">
        <v>85</v>
      </c>
      <c r="O28" t="s">
        <v>86</v>
      </c>
      <c r="P28" t="s">
        <v>73</v>
      </c>
    </row>
    <row r="29" spans="1:16" x14ac:dyDescent="0.35">
      <c r="A29">
        <v>27</v>
      </c>
      <c r="B29" t="s">
        <v>13</v>
      </c>
      <c r="C29" t="s">
        <v>97</v>
      </c>
      <c r="D29">
        <v>2017</v>
      </c>
      <c r="E29">
        <v>44801</v>
      </c>
      <c r="F29">
        <v>13727866</v>
      </c>
      <c r="G29" t="s">
        <v>65</v>
      </c>
      <c r="H29" t="s">
        <v>66</v>
      </c>
      <c r="I29" t="s">
        <v>76</v>
      </c>
      <c r="J29">
        <v>5</v>
      </c>
      <c r="K29" t="s">
        <v>82</v>
      </c>
      <c r="L29" t="s">
        <v>77</v>
      </c>
      <c r="M29" t="s">
        <v>98</v>
      </c>
      <c r="N29" t="s">
        <v>99</v>
      </c>
      <c r="O29" t="s">
        <v>86</v>
      </c>
      <c r="P29" t="s">
        <v>79</v>
      </c>
    </row>
    <row r="30" spans="1:16" x14ac:dyDescent="0.35">
      <c r="A30">
        <v>28</v>
      </c>
      <c r="B30" t="s">
        <v>16</v>
      </c>
      <c r="C30" t="s">
        <v>87</v>
      </c>
      <c r="D30">
        <v>2015</v>
      </c>
      <c r="E30">
        <v>125599</v>
      </c>
      <c r="F30">
        <v>19200946</v>
      </c>
      <c r="G30" t="s">
        <v>100</v>
      </c>
      <c r="H30" t="s">
        <v>93</v>
      </c>
      <c r="I30" t="s">
        <v>81</v>
      </c>
      <c r="J30">
        <v>3</v>
      </c>
      <c r="K30" t="s">
        <v>101</v>
      </c>
      <c r="L30" t="s">
        <v>90</v>
      </c>
      <c r="M30" t="s">
        <v>102</v>
      </c>
      <c r="N30" t="s">
        <v>85</v>
      </c>
      <c r="O30" t="s">
        <v>72</v>
      </c>
      <c r="P30" t="s">
        <v>79</v>
      </c>
    </row>
    <row r="31" spans="1:16" x14ac:dyDescent="0.35">
      <c r="A31">
        <v>29</v>
      </c>
      <c r="B31" t="s">
        <v>14</v>
      </c>
      <c r="C31" t="s">
        <v>103</v>
      </c>
      <c r="D31">
        <v>2021</v>
      </c>
      <c r="E31">
        <v>70467</v>
      </c>
      <c r="F31">
        <v>21908286</v>
      </c>
      <c r="G31" t="s">
        <v>75</v>
      </c>
      <c r="H31" t="s">
        <v>93</v>
      </c>
      <c r="I31" t="s">
        <v>104</v>
      </c>
      <c r="J31">
        <v>3</v>
      </c>
      <c r="K31" t="s">
        <v>68</v>
      </c>
      <c r="L31" t="s">
        <v>69</v>
      </c>
      <c r="M31" t="s">
        <v>105</v>
      </c>
      <c r="N31" t="s">
        <v>99</v>
      </c>
      <c r="O31" t="s">
        <v>86</v>
      </c>
      <c r="P31" t="s">
        <v>73</v>
      </c>
    </row>
    <row r="32" spans="1:16" x14ac:dyDescent="0.35">
      <c r="A32">
        <v>30</v>
      </c>
      <c r="B32" t="s">
        <v>18</v>
      </c>
      <c r="C32" t="s">
        <v>106</v>
      </c>
      <c r="D32">
        <v>2017</v>
      </c>
      <c r="E32">
        <v>52055</v>
      </c>
      <c r="F32">
        <v>23237584</v>
      </c>
      <c r="G32" t="s">
        <v>65</v>
      </c>
      <c r="H32" t="s">
        <v>93</v>
      </c>
      <c r="I32" t="s">
        <v>76</v>
      </c>
      <c r="J32">
        <v>5</v>
      </c>
      <c r="K32" t="s">
        <v>89</v>
      </c>
      <c r="L32" t="s">
        <v>83</v>
      </c>
      <c r="M32" t="s">
        <v>107</v>
      </c>
      <c r="N32" t="s">
        <v>71</v>
      </c>
      <c r="O32" t="s">
        <v>86</v>
      </c>
      <c r="P32" t="s">
        <v>73</v>
      </c>
    </row>
    <row r="33" spans="1:16" x14ac:dyDescent="0.35">
      <c r="A33">
        <v>31</v>
      </c>
      <c r="B33" t="s">
        <v>15</v>
      </c>
      <c r="C33" t="s">
        <v>108</v>
      </c>
      <c r="D33">
        <v>2023</v>
      </c>
      <c r="E33">
        <v>82137</v>
      </c>
      <c r="F33">
        <v>23025850</v>
      </c>
      <c r="G33" t="s">
        <v>100</v>
      </c>
      <c r="H33" t="s">
        <v>93</v>
      </c>
      <c r="I33" t="s">
        <v>81</v>
      </c>
      <c r="J33">
        <v>3</v>
      </c>
      <c r="K33" t="s">
        <v>68</v>
      </c>
      <c r="L33" t="s">
        <v>90</v>
      </c>
      <c r="M33" t="s">
        <v>109</v>
      </c>
      <c r="N33" t="s">
        <v>99</v>
      </c>
      <c r="O33" t="s">
        <v>86</v>
      </c>
      <c r="P33" t="s">
        <v>79</v>
      </c>
    </row>
    <row r="34" spans="1:16" x14ac:dyDescent="0.35">
      <c r="A34">
        <v>32</v>
      </c>
      <c r="B34" t="s">
        <v>13</v>
      </c>
      <c r="C34" t="s">
        <v>110</v>
      </c>
      <c r="D34">
        <v>2015</v>
      </c>
      <c r="E34">
        <v>77417</v>
      </c>
      <c r="F34">
        <v>20319193</v>
      </c>
      <c r="G34" t="s">
        <v>100</v>
      </c>
      <c r="H34" t="s">
        <v>66</v>
      </c>
      <c r="I34" t="s">
        <v>76</v>
      </c>
      <c r="J34">
        <v>3</v>
      </c>
      <c r="K34" t="s">
        <v>89</v>
      </c>
      <c r="L34" t="s">
        <v>77</v>
      </c>
      <c r="M34" t="s">
        <v>111</v>
      </c>
      <c r="N34" t="s">
        <v>99</v>
      </c>
      <c r="O34" t="s">
        <v>86</v>
      </c>
      <c r="P34" t="s">
        <v>79</v>
      </c>
    </row>
    <row r="35" spans="1:16" x14ac:dyDescent="0.35">
      <c r="A35">
        <v>33</v>
      </c>
      <c r="B35" t="s">
        <v>19</v>
      </c>
      <c r="C35" t="s">
        <v>112</v>
      </c>
      <c r="D35">
        <v>2023</v>
      </c>
      <c r="E35">
        <v>28861</v>
      </c>
      <c r="F35">
        <v>4532832</v>
      </c>
      <c r="G35" t="s">
        <v>75</v>
      </c>
      <c r="H35" t="s">
        <v>93</v>
      </c>
      <c r="I35" t="s">
        <v>76</v>
      </c>
      <c r="J35">
        <v>5</v>
      </c>
      <c r="K35" t="s">
        <v>82</v>
      </c>
      <c r="L35" t="s">
        <v>77</v>
      </c>
      <c r="M35" t="s">
        <v>113</v>
      </c>
      <c r="N35" t="s">
        <v>71</v>
      </c>
      <c r="O35" t="s">
        <v>86</v>
      </c>
      <c r="P35" t="s">
        <v>73</v>
      </c>
    </row>
    <row r="36" spans="1:16" x14ac:dyDescent="0.35">
      <c r="A36">
        <v>34</v>
      </c>
      <c r="B36" t="s">
        <v>15</v>
      </c>
      <c r="C36" t="s">
        <v>114</v>
      </c>
      <c r="D36">
        <v>2022</v>
      </c>
      <c r="E36">
        <v>27118</v>
      </c>
      <c r="F36">
        <v>8258517</v>
      </c>
      <c r="G36" t="s">
        <v>75</v>
      </c>
      <c r="H36" t="s">
        <v>66</v>
      </c>
      <c r="I36" t="s">
        <v>81</v>
      </c>
      <c r="J36">
        <v>4</v>
      </c>
      <c r="K36" t="s">
        <v>82</v>
      </c>
      <c r="L36" t="s">
        <v>69</v>
      </c>
      <c r="M36" t="s">
        <v>115</v>
      </c>
      <c r="N36" t="s">
        <v>99</v>
      </c>
      <c r="O36" t="s">
        <v>72</v>
      </c>
      <c r="P36" t="s">
        <v>79</v>
      </c>
    </row>
    <row r="37" spans="1:16" x14ac:dyDescent="0.35">
      <c r="A37">
        <v>35</v>
      </c>
      <c r="B37" t="s">
        <v>17</v>
      </c>
      <c r="C37" t="s">
        <v>116</v>
      </c>
      <c r="D37">
        <v>2019</v>
      </c>
      <c r="E37">
        <v>23581</v>
      </c>
      <c r="F37">
        <v>18526043</v>
      </c>
      <c r="G37" t="s">
        <v>75</v>
      </c>
      <c r="H37" t="s">
        <v>93</v>
      </c>
      <c r="I37" t="s">
        <v>76</v>
      </c>
      <c r="J37">
        <v>5</v>
      </c>
      <c r="K37" t="s">
        <v>82</v>
      </c>
      <c r="L37" t="s">
        <v>83</v>
      </c>
      <c r="M37" t="s">
        <v>117</v>
      </c>
      <c r="N37" t="s">
        <v>71</v>
      </c>
      <c r="O37" t="s">
        <v>86</v>
      </c>
      <c r="P37" t="s">
        <v>79</v>
      </c>
    </row>
    <row r="38" spans="1:16" x14ac:dyDescent="0.35">
      <c r="A38">
        <v>36</v>
      </c>
      <c r="B38" t="s">
        <v>17</v>
      </c>
      <c r="C38" t="s">
        <v>74</v>
      </c>
      <c r="D38">
        <v>2019</v>
      </c>
      <c r="E38">
        <v>94325</v>
      </c>
      <c r="F38">
        <v>21895688</v>
      </c>
      <c r="G38" t="s">
        <v>65</v>
      </c>
      <c r="H38" t="s">
        <v>93</v>
      </c>
      <c r="I38" t="s">
        <v>76</v>
      </c>
      <c r="J38">
        <v>5</v>
      </c>
      <c r="K38" t="s">
        <v>89</v>
      </c>
      <c r="L38" t="s">
        <v>69</v>
      </c>
      <c r="M38" t="s">
        <v>118</v>
      </c>
      <c r="N38" t="s">
        <v>85</v>
      </c>
      <c r="O38" t="s">
        <v>86</v>
      </c>
      <c r="P38" t="s">
        <v>73</v>
      </c>
    </row>
    <row r="39" spans="1:16" x14ac:dyDescent="0.35">
      <c r="A39">
        <v>37</v>
      </c>
      <c r="B39" t="s">
        <v>11</v>
      </c>
      <c r="C39" t="s">
        <v>119</v>
      </c>
      <c r="D39">
        <v>2017</v>
      </c>
      <c r="E39">
        <v>137001</v>
      </c>
      <c r="F39">
        <v>10016668</v>
      </c>
      <c r="G39" t="s">
        <v>100</v>
      </c>
      <c r="H39" t="s">
        <v>93</v>
      </c>
      <c r="I39" t="s">
        <v>104</v>
      </c>
      <c r="J39">
        <v>4</v>
      </c>
      <c r="K39" t="s">
        <v>82</v>
      </c>
      <c r="L39" t="s">
        <v>120</v>
      </c>
      <c r="M39" t="s">
        <v>121</v>
      </c>
      <c r="N39" t="s">
        <v>99</v>
      </c>
      <c r="O39" t="s">
        <v>72</v>
      </c>
      <c r="P39" t="s">
        <v>79</v>
      </c>
    </row>
    <row r="40" spans="1:16" x14ac:dyDescent="0.35">
      <c r="A40">
        <v>38</v>
      </c>
      <c r="B40" t="s">
        <v>16</v>
      </c>
      <c r="C40" t="s">
        <v>95</v>
      </c>
      <c r="D40">
        <v>2015</v>
      </c>
      <c r="E40">
        <v>104744</v>
      </c>
      <c r="F40">
        <v>21377222</v>
      </c>
      <c r="G40" t="s">
        <v>65</v>
      </c>
      <c r="H40" t="s">
        <v>66</v>
      </c>
      <c r="I40" t="s">
        <v>76</v>
      </c>
      <c r="J40">
        <v>3</v>
      </c>
      <c r="K40" t="s">
        <v>68</v>
      </c>
      <c r="L40" t="s">
        <v>69</v>
      </c>
      <c r="M40" t="s">
        <v>122</v>
      </c>
      <c r="N40" t="s">
        <v>71</v>
      </c>
      <c r="O40" t="s">
        <v>72</v>
      </c>
      <c r="P40" t="s">
        <v>73</v>
      </c>
    </row>
    <row r="41" spans="1:16" x14ac:dyDescent="0.35">
      <c r="A41">
        <v>39</v>
      </c>
      <c r="B41" t="s">
        <v>14</v>
      </c>
      <c r="C41" t="s">
        <v>123</v>
      </c>
      <c r="D41">
        <v>2022</v>
      </c>
      <c r="E41">
        <v>91450</v>
      </c>
      <c r="F41">
        <v>8057917</v>
      </c>
      <c r="G41" t="s">
        <v>65</v>
      </c>
      <c r="H41" t="s">
        <v>66</v>
      </c>
      <c r="I41" t="s">
        <v>67</v>
      </c>
      <c r="J41">
        <v>3</v>
      </c>
      <c r="K41" t="s">
        <v>68</v>
      </c>
      <c r="L41" t="s">
        <v>69</v>
      </c>
      <c r="M41" t="s">
        <v>124</v>
      </c>
      <c r="N41" t="s">
        <v>99</v>
      </c>
      <c r="O41" t="s">
        <v>86</v>
      </c>
      <c r="P41" t="s">
        <v>79</v>
      </c>
    </row>
    <row r="42" spans="1:16" x14ac:dyDescent="0.35">
      <c r="A42">
        <v>40</v>
      </c>
      <c r="B42" t="s">
        <v>19</v>
      </c>
      <c r="C42" t="s">
        <v>112</v>
      </c>
      <c r="D42">
        <v>2019</v>
      </c>
      <c r="E42">
        <v>141731</v>
      </c>
      <c r="F42">
        <v>18938963</v>
      </c>
      <c r="G42" t="s">
        <v>75</v>
      </c>
      <c r="H42" t="s">
        <v>93</v>
      </c>
      <c r="I42" t="s">
        <v>104</v>
      </c>
      <c r="J42">
        <v>3</v>
      </c>
      <c r="K42" t="s">
        <v>68</v>
      </c>
      <c r="L42" t="s">
        <v>120</v>
      </c>
      <c r="M42" t="s">
        <v>125</v>
      </c>
      <c r="N42" t="s">
        <v>85</v>
      </c>
      <c r="O42" t="s">
        <v>86</v>
      </c>
      <c r="P42" t="s">
        <v>73</v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1"/>
  <sheetViews>
    <sheetView topLeftCell="D10" zoomScale="73" zoomScaleNormal="100" workbookViewId="0">
      <selection activeCell="I1" sqref="I1"/>
    </sheetView>
  </sheetViews>
  <sheetFormatPr baseColWidth="10" defaultColWidth="8.7265625" defaultRowHeight="14.5" x14ac:dyDescent="0.35"/>
  <cols>
    <col min="2" max="2" width="10.6328125" bestFit="1" customWidth="1"/>
    <col min="3" max="3" width="7.7265625" style="9" bestFit="1" customWidth="1"/>
    <col min="4" max="4" width="4.81640625" bestFit="1" customWidth="1"/>
    <col min="5" max="5" width="10.54296875" style="11" bestFit="1" customWidth="1"/>
    <col min="6" max="6" width="13.81640625" style="5" bestFit="1" customWidth="1"/>
    <col min="7" max="7" width="16.08984375" bestFit="1" customWidth="1"/>
    <col min="8" max="8" width="11" bestFit="1" customWidth="1"/>
    <col min="9" max="9" width="8.08984375" bestFit="1" customWidth="1"/>
    <col min="10" max="10" width="7.26953125" bestFit="1" customWidth="1"/>
    <col min="11" max="11" width="9.453125" bestFit="1" customWidth="1"/>
    <col min="12" max="12" width="11.6328125" bestFit="1" customWidth="1"/>
    <col min="13" max="13" width="16.1796875" style="7" bestFit="1" customWidth="1"/>
    <col min="14" max="14" width="10" bestFit="1" customWidth="1"/>
    <col min="15" max="15" width="9.7265625" bestFit="1" customWidth="1"/>
    <col min="16" max="16" width="11.08984375" bestFit="1" customWidth="1"/>
    <col min="17" max="17" width="11.26953125" customWidth="1"/>
    <col min="18" max="18" width="10.81640625" bestFit="1" customWidth="1"/>
    <col min="19" max="22" width="16" customWidth="1"/>
  </cols>
  <sheetData>
    <row r="1" spans="1:22" x14ac:dyDescent="0.35">
      <c r="A1" s="1" t="s">
        <v>51</v>
      </c>
      <c r="B1" s="1" t="s">
        <v>6</v>
      </c>
      <c r="C1" s="8" t="s">
        <v>52</v>
      </c>
      <c r="D1" s="1" t="s">
        <v>53</v>
      </c>
      <c r="E1" s="10" t="s">
        <v>54</v>
      </c>
      <c r="F1" s="4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7</v>
      </c>
      <c r="M1" s="6" t="s">
        <v>61</v>
      </c>
      <c r="N1" s="1" t="s">
        <v>9</v>
      </c>
      <c r="O1" s="1" t="s">
        <v>62</v>
      </c>
      <c r="P1" s="1" t="s">
        <v>63</v>
      </c>
      <c r="Q1" s="22" t="s">
        <v>126</v>
      </c>
      <c r="R1" s="22" t="s">
        <v>127</v>
      </c>
      <c r="S1" s="34" t="s">
        <v>20</v>
      </c>
      <c r="T1" s="34" t="s">
        <v>128</v>
      </c>
      <c r="U1" s="34" t="s">
        <v>129</v>
      </c>
      <c r="V1" s="34" t="s">
        <v>130</v>
      </c>
    </row>
    <row r="2" spans="1:22" x14ac:dyDescent="0.35">
      <c r="A2">
        <v>1</v>
      </c>
      <c r="B2" t="s">
        <v>12</v>
      </c>
      <c r="C2" s="9" t="s">
        <v>64</v>
      </c>
      <c r="D2">
        <v>2018</v>
      </c>
      <c r="E2" s="11">
        <v>140300</v>
      </c>
      <c r="F2" s="5">
        <v>4392397</v>
      </c>
      <c r="G2" t="s">
        <v>65</v>
      </c>
      <c r="H2" t="s">
        <v>66</v>
      </c>
      <c r="I2" t="s">
        <v>67</v>
      </c>
      <c r="J2">
        <v>3</v>
      </c>
      <c r="K2" t="s">
        <v>68</v>
      </c>
      <c r="L2" t="s">
        <v>69</v>
      </c>
      <c r="M2" s="7" t="s">
        <v>70</v>
      </c>
      <c r="N2" t="s">
        <v>71</v>
      </c>
      <c r="O2" t="s">
        <v>72</v>
      </c>
      <c r="P2" t="s">
        <v>73</v>
      </c>
      <c r="Q2" t="str">
        <f t="shared" ref="Q2:Q41" si="0">IF(F2&gt;20000000,"Alta","Media")</f>
        <v>Media</v>
      </c>
      <c r="R2" t="str">
        <f t="shared" ref="R2:R41" si="1">IF(O2="Nacional","Sí","No")</f>
        <v>No</v>
      </c>
      <c r="S2" s="36">
        <f t="shared" ref="S2:S41" si="2">DATE(YEAR(M2),MONTH(M2),1)</f>
        <v>45139</v>
      </c>
      <c r="T2">
        <f t="shared" ref="T2:T41" ca="1" si="3">YEAR(TODAY())-D2</f>
        <v>7</v>
      </c>
      <c r="U2" t="str">
        <f>IF(E2&gt;Parametros!$B$5,"Alto",IF(E2&gt;Parametros!$B$4,"Medio","Bajo"))</f>
        <v>Alto</v>
      </c>
      <c r="V2" s="37">
        <f>F2/Parametros!$B$2</f>
        <v>3993.088181818182</v>
      </c>
    </row>
    <row r="3" spans="1:22" x14ac:dyDescent="0.35">
      <c r="A3">
        <v>2</v>
      </c>
      <c r="B3" t="s">
        <v>17</v>
      </c>
      <c r="C3" s="9" t="s">
        <v>74</v>
      </c>
      <c r="D3">
        <v>2016</v>
      </c>
      <c r="E3" s="11">
        <v>44429</v>
      </c>
      <c r="F3" s="5">
        <v>15550583</v>
      </c>
      <c r="G3" t="s">
        <v>75</v>
      </c>
      <c r="H3" t="s">
        <v>66</v>
      </c>
      <c r="I3" t="s">
        <v>76</v>
      </c>
      <c r="J3">
        <v>5</v>
      </c>
      <c r="K3" t="s">
        <v>68</v>
      </c>
      <c r="L3" t="s">
        <v>77</v>
      </c>
      <c r="M3" s="7" t="s">
        <v>78</v>
      </c>
      <c r="N3" t="s">
        <v>71</v>
      </c>
      <c r="O3" t="s">
        <v>72</v>
      </c>
      <c r="P3" t="s">
        <v>79</v>
      </c>
      <c r="Q3" t="str">
        <f t="shared" si="0"/>
        <v>Media</v>
      </c>
      <c r="R3" t="str">
        <f t="shared" si="1"/>
        <v>No</v>
      </c>
      <c r="S3" s="36">
        <f t="shared" si="2"/>
        <v>45717</v>
      </c>
      <c r="T3">
        <f t="shared" ca="1" si="3"/>
        <v>9</v>
      </c>
      <c r="U3" t="str">
        <f>IF(E3&gt;Parametros!$B$5,"Alto",IF(E3&gt;Parametros!$B$4,"Medio","Bajo"))</f>
        <v>Bajo</v>
      </c>
      <c r="V3" s="37">
        <f>F3/Parametros!$B$2</f>
        <v>14136.893636363637</v>
      </c>
    </row>
    <row r="4" spans="1:22" x14ac:dyDescent="0.35">
      <c r="A4">
        <v>3</v>
      </c>
      <c r="B4" t="s">
        <v>14</v>
      </c>
      <c r="C4" s="9" t="s">
        <v>80</v>
      </c>
      <c r="D4">
        <v>2020</v>
      </c>
      <c r="E4" s="11">
        <v>118020</v>
      </c>
      <c r="F4" s="5">
        <v>18134749</v>
      </c>
      <c r="G4" t="s">
        <v>75</v>
      </c>
      <c r="H4" t="s">
        <v>66</v>
      </c>
      <c r="I4" t="s">
        <v>81</v>
      </c>
      <c r="J4">
        <v>3</v>
      </c>
      <c r="K4" t="s">
        <v>82</v>
      </c>
      <c r="L4" t="s">
        <v>83</v>
      </c>
      <c r="M4" s="7" t="s">
        <v>84</v>
      </c>
      <c r="N4" t="s">
        <v>85</v>
      </c>
      <c r="O4" t="s">
        <v>86</v>
      </c>
      <c r="P4" t="s">
        <v>73</v>
      </c>
      <c r="Q4" t="str">
        <f t="shared" si="0"/>
        <v>Media</v>
      </c>
      <c r="R4" t="str">
        <f t="shared" si="1"/>
        <v>Sí</v>
      </c>
      <c r="S4" s="36">
        <f t="shared" si="2"/>
        <v>45231</v>
      </c>
      <c r="T4">
        <f t="shared" ca="1" si="3"/>
        <v>5</v>
      </c>
      <c r="U4" t="str">
        <f>IF(E4&gt;Parametros!$B$5,"Alto",IF(E4&gt;Parametros!$B$4,"Medio","Bajo"))</f>
        <v>Alto</v>
      </c>
      <c r="V4" s="37">
        <f>F4/Parametros!$B$2</f>
        <v>16486.135454545456</v>
      </c>
    </row>
    <row r="5" spans="1:22" x14ac:dyDescent="0.35">
      <c r="A5">
        <v>4</v>
      </c>
      <c r="B5" t="s">
        <v>16</v>
      </c>
      <c r="C5" s="9" t="s">
        <v>87</v>
      </c>
      <c r="D5">
        <v>2017</v>
      </c>
      <c r="E5" s="11">
        <v>28856</v>
      </c>
      <c r="F5" s="5">
        <v>21316848</v>
      </c>
      <c r="G5" t="s">
        <v>65</v>
      </c>
      <c r="H5" t="s">
        <v>66</v>
      </c>
      <c r="I5" t="s">
        <v>88</v>
      </c>
      <c r="J5">
        <v>5</v>
      </c>
      <c r="K5" t="s">
        <v>89</v>
      </c>
      <c r="L5" t="s">
        <v>90</v>
      </c>
      <c r="M5" s="7" t="s">
        <v>91</v>
      </c>
      <c r="N5" t="s">
        <v>85</v>
      </c>
      <c r="O5" t="s">
        <v>72</v>
      </c>
      <c r="P5" t="s">
        <v>73</v>
      </c>
      <c r="Q5" t="str">
        <f t="shared" si="0"/>
        <v>Alta</v>
      </c>
      <c r="R5" t="str">
        <f t="shared" si="1"/>
        <v>No</v>
      </c>
      <c r="S5" s="36">
        <f t="shared" si="2"/>
        <v>45352</v>
      </c>
      <c r="T5">
        <f t="shared" ca="1" si="3"/>
        <v>8</v>
      </c>
      <c r="U5" t="str">
        <f>IF(E5&gt;Parametros!$B$5,"Alto",IF(E5&gt;Parametros!$B$4,"Medio","Bajo"))</f>
        <v>Bajo</v>
      </c>
      <c r="V5" s="37">
        <f>F5/Parametros!$B$2</f>
        <v>19378.952727272728</v>
      </c>
    </row>
    <row r="6" spans="1:22" x14ac:dyDescent="0.35">
      <c r="A6">
        <v>5</v>
      </c>
      <c r="B6" t="s">
        <v>15</v>
      </c>
      <c r="C6" s="9" t="s">
        <v>92</v>
      </c>
      <c r="D6">
        <v>2017</v>
      </c>
      <c r="E6" s="11">
        <v>137684</v>
      </c>
      <c r="F6" s="5">
        <v>22243508</v>
      </c>
      <c r="G6" t="s">
        <v>75</v>
      </c>
      <c r="H6" t="s">
        <v>93</v>
      </c>
      <c r="I6" t="s">
        <v>67</v>
      </c>
      <c r="J6">
        <v>4</v>
      </c>
      <c r="K6" t="s">
        <v>89</v>
      </c>
      <c r="L6" t="s">
        <v>77</v>
      </c>
      <c r="M6" s="7" t="s">
        <v>94</v>
      </c>
      <c r="N6" t="s">
        <v>71</v>
      </c>
      <c r="O6" t="s">
        <v>86</v>
      </c>
      <c r="P6" t="s">
        <v>79</v>
      </c>
      <c r="Q6" t="str">
        <f t="shared" si="0"/>
        <v>Alta</v>
      </c>
      <c r="R6" t="str">
        <f t="shared" si="1"/>
        <v>Sí</v>
      </c>
      <c r="S6" s="36">
        <f t="shared" si="2"/>
        <v>45931</v>
      </c>
      <c r="T6">
        <f t="shared" ca="1" si="3"/>
        <v>8</v>
      </c>
      <c r="U6" t="str">
        <f>IF(E6&gt;Parametros!$B$5,"Alto",IF(E6&gt;Parametros!$B$4,"Medio","Bajo"))</f>
        <v>Alto</v>
      </c>
      <c r="V6" s="37">
        <f>F6/Parametros!$B$2</f>
        <v>20221.370909090911</v>
      </c>
    </row>
    <row r="7" spans="1:22" x14ac:dyDescent="0.35">
      <c r="A7">
        <v>6</v>
      </c>
      <c r="B7" t="s">
        <v>16</v>
      </c>
      <c r="C7" s="9" t="s">
        <v>95</v>
      </c>
      <c r="D7">
        <v>2022</v>
      </c>
      <c r="E7" s="11">
        <v>25965</v>
      </c>
      <c r="F7" s="5">
        <v>7701714</v>
      </c>
      <c r="G7" t="s">
        <v>65</v>
      </c>
      <c r="H7" t="s">
        <v>93</v>
      </c>
      <c r="I7" t="s">
        <v>88</v>
      </c>
      <c r="J7">
        <v>3</v>
      </c>
      <c r="K7" t="s">
        <v>82</v>
      </c>
      <c r="L7" t="s">
        <v>77</v>
      </c>
      <c r="M7" s="7" t="s">
        <v>96</v>
      </c>
      <c r="N7" t="s">
        <v>85</v>
      </c>
      <c r="O7" t="s">
        <v>86</v>
      </c>
      <c r="P7" t="s">
        <v>73</v>
      </c>
      <c r="Q7" t="str">
        <f t="shared" si="0"/>
        <v>Media</v>
      </c>
      <c r="R7" t="str">
        <f t="shared" si="1"/>
        <v>Sí</v>
      </c>
      <c r="S7" s="36">
        <f t="shared" si="2"/>
        <v>45200</v>
      </c>
      <c r="T7">
        <f t="shared" ca="1" si="3"/>
        <v>3</v>
      </c>
      <c r="U7" t="str">
        <f>IF(E7&gt;Parametros!$B$5,"Alto",IF(E7&gt;Parametros!$B$4,"Medio","Bajo"))</f>
        <v>Bajo</v>
      </c>
      <c r="V7" s="37">
        <f>F7/Parametros!$B$2</f>
        <v>7001.5581818181818</v>
      </c>
    </row>
    <row r="8" spans="1:22" x14ac:dyDescent="0.35">
      <c r="A8">
        <v>7</v>
      </c>
      <c r="B8" t="s">
        <v>13</v>
      </c>
      <c r="C8" s="9" t="s">
        <v>97</v>
      </c>
      <c r="D8">
        <v>2017</v>
      </c>
      <c r="E8" s="11">
        <v>44801</v>
      </c>
      <c r="F8" s="5">
        <v>13727866</v>
      </c>
      <c r="G8" t="s">
        <v>65</v>
      </c>
      <c r="H8" t="s">
        <v>66</v>
      </c>
      <c r="I8" t="s">
        <v>76</v>
      </c>
      <c r="J8">
        <v>5</v>
      </c>
      <c r="K8" t="s">
        <v>82</v>
      </c>
      <c r="L8" t="s">
        <v>77</v>
      </c>
      <c r="M8" s="7" t="s">
        <v>98</v>
      </c>
      <c r="N8" t="s">
        <v>99</v>
      </c>
      <c r="O8" t="s">
        <v>86</v>
      </c>
      <c r="P8" t="s">
        <v>79</v>
      </c>
      <c r="Q8" t="str">
        <f t="shared" si="0"/>
        <v>Media</v>
      </c>
      <c r="R8" t="str">
        <f t="shared" si="1"/>
        <v>Sí</v>
      </c>
      <c r="S8" s="36">
        <f t="shared" si="2"/>
        <v>45200</v>
      </c>
      <c r="T8">
        <f t="shared" ca="1" si="3"/>
        <v>8</v>
      </c>
      <c r="U8" t="str">
        <f>IF(E8&gt;Parametros!$B$5,"Alto",IF(E8&gt;Parametros!$B$4,"Medio","Bajo"))</f>
        <v>Bajo</v>
      </c>
      <c r="V8" s="37">
        <f>F8/Parametros!$B$2</f>
        <v>12479.878181818181</v>
      </c>
    </row>
    <row r="9" spans="1:22" x14ac:dyDescent="0.35">
      <c r="A9">
        <v>8</v>
      </c>
      <c r="B9" t="s">
        <v>16</v>
      </c>
      <c r="C9" s="9" t="s">
        <v>87</v>
      </c>
      <c r="D9">
        <v>2015</v>
      </c>
      <c r="E9" s="11">
        <v>125599</v>
      </c>
      <c r="F9" s="5">
        <v>19200946</v>
      </c>
      <c r="G9" t="s">
        <v>100</v>
      </c>
      <c r="H9" t="s">
        <v>93</v>
      </c>
      <c r="I9" t="s">
        <v>81</v>
      </c>
      <c r="J9">
        <v>3</v>
      </c>
      <c r="K9" t="s">
        <v>101</v>
      </c>
      <c r="L9" t="s">
        <v>90</v>
      </c>
      <c r="M9" s="7" t="s">
        <v>102</v>
      </c>
      <c r="N9" t="s">
        <v>85</v>
      </c>
      <c r="O9" t="s">
        <v>72</v>
      </c>
      <c r="P9" t="s">
        <v>79</v>
      </c>
      <c r="Q9" t="str">
        <f t="shared" si="0"/>
        <v>Media</v>
      </c>
      <c r="R9" t="str">
        <f t="shared" si="1"/>
        <v>No</v>
      </c>
      <c r="S9" s="36">
        <f t="shared" si="2"/>
        <v>45170</v>
      </c>
      <c r="T9">
        <f t="shared" ca="1" si="3"/>
        <v>10</v>
      </c>
      <c r="U9" t="str">
        <f>IF(E9&gt;Parametros!$B$5,"Alto",IF(E9&gt;Parametros!$B$4,"Medio","Bajo"))</f>
        <v>Alto</v>
      </c>
      <c r="V9" s="37">
        <f>F9/Parametros!$B$2</f>
        <v>17455.405454545453</v>
      </c>
    </row>
    <row r="10" spans="1:22" x14ac:dyDescent="0.35">
      <c r="A10">
        <v>9</v>
      </c>
      <c r="B10" t="s">
        <v>14</v>
      </c>
      <c r="C10" s="9" t="s">
        <v>103</v>
      </c>
      <c r="D10">
        <v>2021</v>
      </c>
      <c r="E10" s="11">
        <v>70467</v>
      </c>
      <c r="F10" s="5">
        <v>21908286</v>
      </c>
      <c r="G10" t="s">
        <v>75</v>
      </c>
      <c r="H10" t="s">
        <v>93</v>
      </c>
      <c r="I10" t="s">
        <v>104</v>
      </c>
      <c r="J10">
        <v>3</v>
      </c>
      <c r="K10" t="s">
        <v>68</v>
      </c>
      <c r="L10" t="s">
        <v>69</v>
      </c>
      <c r="M10" s="7" t="s">
        <v>105</v>
      </c>
      <c r="N10" t="s">
        <v>99</v>
      </c>
      <c r="O10" t="s">
        <v>86</v>
      </c>
      <c r="P10" t="s">
        <v>73</v>
      </c>
      <c r="Q10" t="str">
        <f t="shared" si="0"/>
        <v>Alta</v>
      </c>
      <c r="R10" t="str">
        <f t="shared" si="1"/>
        <v>Sí</v>
      </c>
      <c r="S10" s="36">
        <f t="shared" si="2"/>
        <v>45292</v>
      </c>
      <c r="T10">
        <f t="shared" ca="1" si="3"/>
        <v>4</v>
      </c>
      <c r="U10" t="str">
        <f>IF(E10&gt;Parametros!$B$5,"Alto",IF(E10&gt;Parametros!$B$4,"Medio","Bajo"))</f>
        <v>Medio</v>
      </c>
      <c r="V10" s="37">
        <f>F10/Parametros!$B$2</f>
        <v>19916.623636363638</v>
      </c>
    </row>
    <row r="11" spans="1:22" x14ac:dyDescent="0.35">
      <c r="A11">
        <v>10</v>
      </c>
      <c r="B11" t="s">
        <v>18</v>
      </c>
      <c r="C11" s="9" t="s">
        <v>106</v>
      </c>
      <c r="D11">
        <v>2017</v>
      </c>
      <c r="E11" s="11">
        <v>52055</v>
      </c>
      <c r="F11" s="5">
        <v>23237584</v>
      </c>
      <c r="G11" t="s">
        <v>65</v>
      </c>
      <c r="H11" t="s">
        <v>93</v>
      </c>
      <c r="I11" t="s">
        <v>76</v>
      </c>
      <c r="J11">
        <v>5</v>
      </c>
      <c r="K11" t="s">
        <v>89</v>
      </c>
      <c r="L11" t="s">
        <v>83</v>
      </c>
      <c r="M11" s="7" t="s">
        <v>107</v>
      </c>
      <c r="N11" t="s">
        <v>71</v>
      </c>
      <c r="O11" t="s">
        <v>86</v>
      </c>
      <c r="P11" t="s">
        <v>73</v>
      </c>
      <c r="Q11" t="str">
        <f t="shared" si="0"/>
        <v>Alta</v>
      </c>
      <c r="R11" t="str">
        <f t="shared" si="1"/>
        <v>Sí</v>
      </c>
      <c r="S11" s="36">
        <f t="shared" si="2"/>
        <v>45200</v>
      </c>
      <c r="T11">
        <f t="shared" ca="1" si="3"/>
        <v>8</v>
      </c>
      <c r="U11" t="str">
        <f>IF(E11&gt;Parametros!$B$5,"Alto",IF(E11&gt;Parametros!$B$4,"Medio","Bajo"))</f>
        <v>Medio</v>
      </c>
      <c r="V11" s="37">
        <f>F11/Parametros!$B$2</f>
        <v>21125.076363636363</v>
      </c>
    </row>
    <row r="12" spans="1:22" x14ac:dyDescent="0.35">
      <c r="A12">
        <v>11</v>
      </c>
      <c r="B12" t="s">
        <v>15</v>
      </c>
      <c r="C12" s="9" t="s">
        <v>108</v>
      </c>
      <c r="D12">
        <v>2023</v>
      </c>
      <c r="E12" s="11">
        <v>82137</v>
      </c>
      <c r="F12" s="5">
        <v>23025850</v>
      </c>
      <c r="G12" t="s">
        <v>100</v>
      </c>
      <c r="H12" t="s">
        <v>93</v>
      </c>
      <c r="I12" t="s">
        <v>81</v>
      </c>
      <c r="J12">
        <v>3</v>
      </c>
      <c r="K12" t="s">
        <v>68</v>
      </c>
      <c r="L12" t="s">
        <v>90</v>
      </c>
      <c r="M12" s="7" t="s">
        <v>109</v>
      </c>
      <c r="N12" t="s">
        <v>99</v>
      </c>
      <c r="O12" t="s">
        <v>86</v>
      </c>
      <c r="P12" t="s">
        <v>79</v>
      </c>
      <c r="Q12" t="str">
        <f t="shared" si="0"/>
        <v>Alta</v>
      </c>
      <c r="R12" t="str">
        <f t="shared" si="1"/>
        <v>Sí</v>
      </c>
      <c r="S12" s="36">
        <f t="shared" si="2"/>
        <v>45870</v>
      </c>
      <c r="T12">
        <f t="shared" ca="1" si="3"/>
        <v>2</v>
      </c>
      <c r="U12" t="str">
        <f>IF(E12&gt;Parametros!$B$5,"Alto",IF(E12&gt;Parametros!$B$4,"Medio","Bajo"))</f>
        <v>Medio</v>
      </c>
      <c r="V12" s="37">
        <f>F12/Parametros!$B$2</f>
        <v>20932.590909090908</v>
      </c>
    </row>
    <row r="13" spans="1:22" x14ac:dyDescent="0.35">
      <c r="A13">
        <v>12</v>
      </c>
      <c r="B13" t="s">
        <v>13</v>
      </c>
      <c r="C13" s="9" t="s">
        <v>110</v>
      </c>
      <c r="D13">
        <v>2015</v>
      </c>
      <c r="E13" s="11">
        <v>77417</v>
      </c>
      <c r="F13" s="5">
        <v>20319193</v>
      </c>
      <c r="G13" t="s">
        <v>100</v>
      </c>
      <c r="H13" t="s">
        <v>66</v>
      </c>
      <c r="I13" t="s">
        <v>76</v>
      </c>
      <c r="J13">
        <v>3</v>
      </c>
      <c r="K13" t="s">
        <v>89</v>
      </c>
      <c r="L13" t="s">
        <v>77</v>
      </c>
      <c r="M13" s="7" t="s">
        <v>111</v>
      </c>
      <c r="N13" t="s">
        <v>99</v>
      </c>
      <c r="O13" t="s">
        <v>86</v>
      </c>
      <c r="P13" t="s">
        <v>79</v>
      </c>
      <c r="Q13" t="str">
        <f t="shared" si="0"/>
        <v>Alta</v>
      </c>
      <c r="R13" t="str">
        <f t="shared" si="1"/>
        <v>Sí</v>
      </c>
      <c r="S13" s="36">
        <f t="shared" si="2"/>
        <v>45231</v>
      </c>
      <c r="T13">
        <f t="shared" ca="1" si="3"/>
        <v>10</v>
      </c>
      <c r="U13" t="str">
        <f>IF(E13&gt;Parametros!$B$5,"Alto",IF(E13&gt;Parametros!$B$4,"Medio","Bajo"))</f>
        <v>Medio</v>
      </c>
      <c r="V13" s="37">
        <f>F13/Parametros!$B$2</f>
        <v>18471.993636363637</v>
      </c>
    </row>
    <row r="14" spans="1:22" x14ac:dyDescent="0.35">
      <c r="A14">
        <v>13</v>
      </c>
      <c r="B14" t="s">
        <v>19</v>
      </c>
      <c r="C14" s="9" t="s">
        <v>112</v>
      </c>
      <c r="D14">
        <v>2023</v>
      </c>
      <c r="E14" s="11">
        <v>28861</v>
      </c>
      <c r="F14" s="5">
        <v>4532832</v>
      </c>
      <c r="G14" t="s">
        <v>75</v>
      </c>
      <c r="H14" t="s">
        <v>93</v>
      </c>
      <c r="I14" t="s">
        <v>76</v>
      </c>
      <c r="J14">
        <v>5</v>
      </c>
      <c r="K14" t="s">
        <v>82</v>
      </c>
      <c r="L14" t="s">
        <v>77</v>
      </c>
      <c r="M14" s="7" t="s">
        <v>113</v>
      </c>
      <c r="N14" t="s">
        <v>71</v>
      </c>
      <c r="O14" t="s">
        <v>86</v>
      </c>
      <c r="P14" t="s">
        <v>73</v>
      </c>
      <c r="Q14" t="str">
        <f t="shared" si="0"/>
        <v>Media</v>
      </c>
      <c r="R14" t="str">
        <f t="shared" si="1"/>
        <v>Sí</v>
      </c>
      <c r="S14" s="36">
        <f t="shared" si="2"/>
        <v>44986</v>
      </c>
      <c r="T14">
        <f t="shared" ca="1" si="3"/>
        <v>2</v>
      </c>
      <c r="U14" t="str">
        <f>IF(E14&gt;Parametros!$B$5,"Alto",IF(E14&gt;Parametros!$B$4,"Medio","Bajo"))</f>
        <v>Bajo</v>
      </c>
      <c r="V14" s="37">
        <f>F14/Parametros!$B$2</f>
        <v>4120.7563636363639</v>
      </c>
    </row>
    <row r="15" spans="1:22" x14ac:dyDescent="0.35">
      <c r="A15">
        <v>14</v>
      </c>
      <c r="B15" t="s">
        <v>15</v>
      </c>
      <c r="C15" s="9" t="s">
        <v>114</v>
      </c>
      <c r="D15">
        <v>2022</v>
      </c>
      <c r="E15" s="11">
        <v>27118</v>
      </c>
      <c r="F15" s="5">
        <v>8258517</v>
      </c>
      <c r="G15" t="s">
        <v>75</v>
      </c>
      <c r="H15" t="s">
        <v>66</v>
      </c>
      <c r="I15" t="s">
        <v>81</v>
      </c>
      <c r="J15">
        <v>4</v>
      </c>
      <c r="K15" t="s">
        <v>82</v>
      </c>
      <c r="L15" t="s">
        <v>69</v>
      </c>
      <c r="M15" s="7" t="s">
        <v>115</v>
      </c>
      <c r="N15" t="s">
        <v>99</v>
      </c>
      <c r="O15" t="s">
        <v>72</v>
      </c>
      <c r="P15" t="s">
        <v>79</v>
      </c>
      <c r="Q15" t="str">
        <f t="shared" si="0"/>
        <v>Media</v>
      </c>
      <c r="R15" t="str">
        <f t="shared" si="1"/>
        <v>No</v>
      </c>
      <c r="S15" s="36">
        <f t="shared" si="2"/>
        <v>45078</v>
      </c>
      <c r="T15">
        <f t="shared" ca="1" si="3"/>
        <v>3</v>
      </c>
      <c r="U15" t="str">
        <f>IF(E15&gt;Parametros!$B$5,"Alto",IF(E15&gt;Parametros!$B$4,"Medio","Bajo"))</f>
        <v>Bajo</v>
      </c>
      <c r="V15" s="37">
        <f>F15/Parametros!$B$2</f>
        <v>7507.7427272727273</v>
      </c>
    </row>
    <row r="16" spans="1:22" x14ac:dyDescent="0.35">
      <c r="A16">
        <v>15</v>
      </c>
      <c r="B16" t="s">
        <v>17</v>
      </c>
      <c r="C16" s="9" t="s">
        <v>116</v>
      </c>
      <c r="D16">
        <v>2019</v>
      </c>
      <c r="E16" s="11">
        <v>23581</v>
      </c>
      <c r="F16" s="5">
        <v>18526043</v>
      </c>
      <c r="G16" t="s">
        <v>75</v>
      </c>
      <c r="H16" t="s">
        <v>93</v>
      </c>
      <c r="I16" t="s">
        <v>76</v>
      </c>
      <c r="J16">
        <v>5</v>
      </c>
      <c r="K16" t="s">
        <v>82</v>
      </c>
      <c r="L16" t="s">
        <v>83</v>
      </c>
      <c r="M16" s="7" t="s">
        <v>117</v>
      </c>
      <c r="N16" t="s">
        <v>71</v>
      </c>
      <c r="O16" t="s">
        <v>86</v>
      </c>
      <c r="P16" t="s">
        <v>79</v>
      </c>
      <c r="Q16" t="str">
        <f t="shared" si="0"/>
        <v>Media</v>
      </c>
      <c r="R16" t="str">
        <f t="shared" si="1"/>
        <v>Sí</v>
      </c>
      <c r="S16" s="36">
        <f t="shared" si="2"/>
        <v>45139</v>
      </c>
      <c r="T16">
        <f t="shared" ca="1" si="3"/>
        <v>6</v>
      </c>
      <c r="U16" t="str">
        <f>IF(E16&gt;Parametros!$B$5,"Alto",IF(E16&gt;Parametros!$B$4,"Medio","Bajo"))</f>
        <v>Bajo</v>
      </c>
      <c r="V16" s="37">
        <f>F16/Parametros!$B$2</f>
        <v>16841.857272727273</v>
      </c>
    </row>
    <row r="17" spans="1:22" x14ac:dyDescent="0.35">
      <c r="A17">
        <v>16</v>
      </c>
      <c r="B17" t="s">
        <v>17</v>
      </c>
      <c r="C17" s="9" t="s">
        <v>74</v>
      </c>
      <c r="D17">
        <v>2019</v>
      </c>
      <c r="E17" s="11">
        <v>94325</v>
      </c>
      <c r="F17" s="5">
        <v>21895688</v>
      </c>
      <c r="G17" t="s">
        <v>65</v>
      </c>
      <c r="H17" t="s">
        <v>93</v>
      </c>
      <c r="I17" t="s">
        <v>76</v>
      </c>
      <c r="J17">
        <v>5</v>
      </c>
      <c r="K17" t="s">
        <v>89</v>
      </c>
      <c r="L17" t="s">
        <v>69</v>
      </c>
      <c r="M17" s="7" t="s">
        <v>118</v>
      </c>
      <c r="N17" t="s">
        <v>85</v>
      </c>
      <c r="O17" t="s">
        <v>86</v>
      </c>
      <c r="P17" t="s">
        <v>73</v>
      </c>
      <c r="Q17" t="str">
        <f t="shared" si="0"/>
        <v>Alta</v>
      </c>
      <c r="R17" t="str">
        <f t="shared" si="1"/>
        <v>Sí</v>
      </c>
      <c r="S17" s="36">
        <f t="shared" si="2"/>
        <v>45352</v>
      </c>
      <c r="T17">
        <f t="shared" ca="1" si="3"/>
        <v>6</v>
      </c>
      <c r="U17" t="str">
        <f>IF(E17&gt;Parametros!$B$5,"Alto",IF(E17&gt;Parametros!$B$4,"Medio","Bajo"))</f>
        <v>Medio</v>
      </c>
      <c r="V17" s="37">
        <f>F17/Parametros!$B$2</f>
        <v>19905.17090909091</v>
      </c>
    </row>
    <row r="18" spans="1:22" x14ac:dyDescent="0.35">
      <c r="A18">
        <v>17</v>
      </c>
      <c r="B18" t="s">
        <v>11</v>
      </c>
      <c r="C18" s="9" t="s">
        <v>119</v>
      </c>
      <c r="D18">
        <v>2017</v>
      </c>
      <c r="E18" s="11">
        <v>137001</v>
      </c>
      <c r="F18" s="5">
        <v>10016668</v>
      </c>
      <c r="G18" t="s">
        <v>100</v>
      </c>
      <c r="H18" t="s">
        <v>93</v>
      </c>
      <c r="I18" t="s">
        <v>104</v>
      </c>
      <c r="J18">
        <v>4</v>
      </c>
      <c r="K18" t="s">
        <v>82</v>
      </c>
      <c r="L18" t="s">
        <v>120</v>
      </c>
      <c r="M18" s="7" t="s">
        <v>121</v>
      </c>
      <c r="N18" t="s">
        <v>99</v>
      </c>
      <c r="O18" t="s">
        <v>72</v>
      </c>
      <c r="P18" t="s">
        <v>79</v>
      </c>
      <c r="Q18" t="str">
        <f t="shared" si="0"/>
        <v>Media</v>
      </c>
      <c r="R18" t="str">
        <f t="shared" si="1"/>
        <v>No</v>
      </c>
      <c r="S18" s="36">
        <f t="shared" si="2"/>
        <v>45566</v>
      </c>
      <c r="T18">
        <f t="shared" ca="1" si="3"/>
        <v>8</v>
      </c>
      <c r="U18" t="str">
        <f>IF(E18&gt;Parametros!$B$5,"Alto",IF(E18&gt;Parametros!$B$4,"Medio","Bajo"))</f>
        <v>Alto</v>
      </c>
      <c r="V18" s="37">
        <f>F18/Parametros!$B$2</f>
        <v>9106.061818181819</v>
      </c>
    </row>
    <row r="19" spans="1:22" x14ac:dyDescent="0.35">
      <c r="A19">
        <v>18</v>
      </c>
      <c r="B19" t="s">
        <v>16</v>
      </c>
      <c r="C19" s="9" t="s">
        <v>95</v>
      </c>
      <c r="D19">
        <v>2015</v>
      </c>
      <c r="E19" s="11">
        <v>104744</v>
      </c>
      <c r="F19" s="5">
        <v>21377222</v>
      </c>
      <c r="G19" t="s">
        <v>65</v>
      </c>
      <c r="H19" t="s">
        <v>66</v>
      </c>
      <c r="I19" t="s">
        <v>76</v>
      </c>
      <c r="J19">
        <v>3</v>
      </c>
      <c r="K19" t="s">
        <v>68</v>
      </c>
      <c r="L19" t="s">
        <v>69</v>
      </c>
      <c r="M19" s="7" t="s">
        <v>122</v>
      </c>
      <c r="N19" t="s">
        <v>71</v>
      </c>
      <c r="O19" t="s">
        <v>72</v>
      </c>
      <c r="P19" t="s">
        <v>73</v>
      </c>
      <c r="Q19" t="str">
        <f t="shared" si="0"/>
        <v>Alta</v>
      </c>
      <c r="R19" t="str">
        <f t="shared" si="1"/>
        <v>No</v>
      </c>
      <c r="S19" s="36">
        <f t="shared" si="2"/>
        <v>45139</v>
      </c>
      <c r="T19">
        <f t="shared" ca="1" si="3"/>
        <v>10</v>
      </c>
      <c r="U19" t="str">
        <f>IF(E19&gt;Parametros!$B$5,"Alto",IF(E19&gt;Parametros!$B$4,"Medio","Bajo"))</f>
        <v>Alto</v>
      </c>
      <c r="V19" s="37">
        <f>F19/Parametros!$B$2</f>
        <v>19433.838181818181</v>
      </c>
    </row>
    <row r="20" spans="1:22" x14ac:dyDescent="0.35">
      <c r="A20">
        <v>19</v>
      </c>
      <c r="B20" t="s">
        <v>14</v>
      </c>
      <c r="C20" s="9" t="s">
        <v>123</v>
      </c>
      <c r="D20">
        <v>2022</v>
      </c>
      <c r="E20" s="11">
        <v>91450</v>
      </c>
      <c r="F20" s="5">
        <v>8057917</v>
      </c>
      <c r="G20" t="s">
        <v>65</v>
      </c>
      <c r="H20" t="s">
        <v>66</v>
      </c>
      <c r="I20" t="s">
        <v>67</v>
      </c>
      <c r="J20">
        <v>3</v>
      </c>
      <c r="K20" t="s">
        <v>68</v>
      </c>
      <c r="L20" t="s">
        <v>69</v>
      </c>
      <c r="M20" s="7" t="s">
        <v>124</v>
      </c>
      <c r="N20" t="s">
        <v>99</v>
      </c>
      <c r="O20" t="s">
        <v>86</v>
      </c>
      <c r="P20" t="s">
        <v>79</v>
      </c>
      <c r="Q20" t="str">
        <f t="shared" si="0"/>
        <v>Media</v>
      </c>
      <c r="R20" t="str">
        <f t="shared" si="1"/>
        <v>Sí</v>
      </c>
      <c r="S20" s="36">
        <f t="shared" si="2"/>
        <v>45778</v>
      </c>
      <c r="T20">
        <f t="shared" ca="1" si="3"/>
        <v>3</v>
      </c>
      <c r="U20" t="str">
        <f>IF(E20&gt;Parametros!$B$5,"Alto",IF(E20&gt;Parametros!$B$4,"Medio","Bajo"))</f>
        <v>Medio</v>
      </c>
      <c r="V20" s="37">
        <f>F20/Parametros!$B$2</f>
        <v>7325.3790909090912</v>
      </c>
    </row>
    <row r="21" spans="1:22" x14ac:dyDescent="0.35">
      <c r="A21">
        <v>20</v>
      </c>
      <c r="B21" t="s">
        <v>19</v>
      </c>
      <c r="C21" s="9" t="s">
        <v>112</v>
      </c>
      <c r="D21">
        <v>2019</v>
      </c>
      <c r="E21" s="11">
        <v>141731</v>
      </c>
      <c r="F21" s="5">
        <v>18938963</v>
      </c>
      <c r="G21" t="s">
        <v>75</v>
      </c>
      <c r="H21" t="s">
        <v>93</v>
      </c>
      <c r="I21" t="s">
        <v>104</v>
      </c>
      <c r="J21">
        <v>3</v>
      </c>
      <c r="K21" t="s">
        <v>68</v>
      </c>
      <c r="L21" t="s">
        <v>120</v>
      </c>
      <c r="M21" s="7" t="s">
        <v>125</v>
      </c>
      <c r="N21" t="s">
        <v>85</v>
      </c>
      <c r="O21" t="s">
        <v>86</v>
      </c>
      <c r="P21" t="s">
        <v>73</v>
      </c>
      <c r="Q21" t="str">
        <f t="shared" si="0"/>
        <v>Media</v>
      </c>
      <c r="R21" t="str">
        <f t="shared" si="1"/>
        <v>Sí</v>
      </c>
      <c r="S21" s="36">
        <f t="shared" si="2"/>
        <v>45413</v>
      </c>
      <c r="T21">
        <f t="shared" ca="1" si="3"/>
        <v>6</v>
      </c>
      <c r="U21" t="str">
        <f>IF(E21&gt;Parametros!$B$5,"Alto",IF(E21&gt;Parametros!$B$4,"Medio","Bajo"))</f>
        <v>Alto</v>
      </c>
      <c r="V21" s="37">
        <f>F21/Parametros!$B$2</f>
        <v>17217.23909090909</v>
      </c>
    </row>
    <row r="22" spans="1:22" x14ac:dyDescent="0.35">
      <c r="A22">
        <v>21</v>
      </c>
      <c r="B22" t="s">
        <v>12</v>
      </c>
      <c r="C22" s="9" t="s">
        <v>64</v>
      </c>
      <c r="D22">
        <v>2018</v>
      </c>
      <c r="E22" s="11">
        <v>140300</v>
      </c>
      <c r="F22" s="5">
        <v>4392397</v>
      </c>
      <c r="G22" t="s">
        <v>65</v>
      </c>
      <c r="H22" t="s">
        <v>66</v>
      </c>
      <c r="I22" t="s">
        <v>67</v>
      </c>
      <c r="J22">
        <v>3</v>
      </c>
      <c r="K22" t="s">
        <v>68</v>
      </c>
      <c r="L22" t="s">
        <v>69</v>
      </c>
      <c r="M22" s="7" t="s">
        <v>70</v>
      </c>
      <c r="N22" t="s">
        <v>71</v>
      </c>
      <c r="O22" t="s">
        <v>72</v>
      </c>
      <c r="P22" t="s">
        <v>73</v>
      </c>
      <c r="Q22" t="str">
        <f t="shared" si="0"/>
        <v>Media</v>
      </c>
      <c r="R22" t="str">
        <f t="shared" si="1"/>
        <v>No</v>
      </c>
      <c r="S22" s="36">
        <f t="shared" si="2"/>
        <v>45139</v>
      </c>
      <c r="T22">
        <f t="shared" ca="1" si="3"/>
        <v>7</v>
      </c>
      <c r="U22" t="str">
        <f>IF(E22&gt;Parametros!$B$5,"Alto",IF(E22&gt;Parametros!$B$4,"Medio","Bajo"))</f>
        <v>Alto</v>
      </c>
      <c r="V22" s="37">
        <f>F22/Parametros!$B$2</f>
        <v>3993.088181818182</v>
      </c>
    </row>
    <row r="23" spans="1:22" x14ac:dyDescent="0.35">
      <c r="A23">
        <v>22</v>
      </c>
      <c r="B23" t="s">
        <v>17</v>
      </c>
      <c r="C23" s="9" t="s">
        <v>74</v>
      </c>
      <c r="D23">
        <v>2016</v>
      </c>
      <c r="E23" s="11">
        <v>44429</v>
      </c>
      <c r="F23" s="5">
        <v>15550583</v>
      </c>
      <c r="G23" t="s">
        <v>75</v>
      </c>
      <c r="H23" t="s">
        <v>66</v>
      </c>
      <c r="I23" t="s">
        <v>76</v>
      </c>
      <c r="J23">
        <v>5</v>
      </c>
      <c r="K23" t="s">
        <v>68</v>
      </c>
      <c r="L23" t="s">
        <v>77</v>
      </c>
      <c r="M23" s="7" t="s">
        <v>78</v>
      </c>
      <c r="N23" t="s">
        <v>71</v>
      </c>
      <c r="O23" t="s">
        <v>72</v>
      </c>
      <c r="P23" t="s">
        <v>79</v>
      </c>
      <c r="Q23" t="str">
        <f t="shared" si="0"/>
        <v>Media</v>
      </c>
      <c r="R23" t="str">
        <f t="shared" si="1"/>
        <v>No</v>
      </c>
      <c r="S23" s="36">
        <f t="shared" si="2"/>
        <v>45717</v>
      </c>
      <c r="T23">
        <f t="shared" ca="1" si="3"/>
        <v>9</v>
      </c>
      <c r="U23" t="str">
        <f>IF(E23&gt;Parametros!$B$5,"Alto",IF(E23&gt;Parametros!$B$4,"Medio","Bajo"))</f>
        <v>Bajo</v>
      </c>
      <c r="V23" s="37">
        <f>F23/Parametros!$B$2</f>
        <v>14136.893636363637</v>
      </c>
    </row>
    <row r="24" spans="1:22" x14ac:dyDescent="0.35">
      <c r="A24">
        <v>23</v>
      </c>
      <c r="B24" t="s">
        <v>14</v>
      </c>
      <c r="C24" s="9" t="s">
        <v>80</v>
      </c>
      <c r="D24">
        <v>2020</v>
      </c>
      <c r="E24" s="11">
        <v>118020</v>
      </c>
      <c r="F24" s="5">
        <v>18134749</v>
      </c>
      <c r="G24" t="s">
        <v>75</v>
      </c>
      <c r="H24" t="s">
        <v>66</v>
      </c>
      <c r="I24" t="s">
        <v>81</v>
      </c>
      <c r="J24">
        <v>3</v>
      </c>
      <c r="K24" t="s">
        <v>82</v>
      </c>
      <c r="L24" t="s">
        <v>83</v>
      </c>
      <c r="M24" s="7" t="s">
        <v>84</v>
      </c>
      <c r="N24" t="s">
        <v>85</v>
      </c>
      <c r="O24" t="s">
        <v>86</v>
      </c>
      <c r="P24" t="s">
        <v>73</v>
      </c>
      <c r="Q24" t="str">
        <f t="shared" si="0"/>
        <v>Media</v>
      </c>
      <c r="R24" t="str">
        <f t="shared" si="1"/>
        <v>Sí</v>
      </c>
      <c r="S24" s="36">
        <f t="shared" si="2"/>
        <v>45231</v>
      </c>
      <c r="T24">
        <f t="shared" ca="1" si="3"/>
        <v>5</v>
      </c>
      <c r="U24" t="str">
        <f>IF(E24&gt;Parametros!$B$5,"Alto",IF(E24&gt;Parametros!$B$4,"Medio","Bajo"))</f>
        <v>Alto</v>
      </c>
      <c r="V24" s="37">
        <f>F24/Parametros!$B$2</f>
        <v>16486.135454545456</v>
      </c>
    </row>
    <row r="25" spans="1:22" x14ac:dyDescent="0.35">
      <c r="A25">
        <v>24</v>
      </c>
      <c r="B25" t="s">
        <v>16</v>
      </c>
      <c r="C25" s="9" t="s">
        <v>87</v>
      </c>
      <c r="D25">
        <v>2017</v>
      </c>
      <c r="E25" s="11">
        <v>28856</v>
      </c>
      <c r="F25" s="5">
        <v>21316848</v>
      </c>
      <c r="G25" t="s">
        <v>65</v>
      </c>
      <c r="H25" t="s">
        <v>66</v>
      </c>
      <c r="I25" t="s">
        <v>88</v>
      </c>
      <c r="J25">
        <v>5</v>
      </c>
      <c r="K25" t="s">
        <v>89</v>
      </c>
      <c r="L25" t="s">
        <v>90</v>
      </c>
      <c r="M25" s="7" t="s">
        <v>91</v>
      </c>
      <c r="N25" t="s">
        <v>85</v>
      </c>
      <c r="O25" t="s">
        <v>72</v>
      </c>
      <c r="P25" t="s">
        <v>73</v>
      </c>
      <c r="Q25" t="str">
        <f t="shared" si="0"/>
        <v>Alta</v>
      </c>
      <c r="R25" t="str">
        <f t="shared" si="1"/>
        <v>No</v>
      </c>
      <c r="S25" s="36">
        <f t="shared" si="2"/>
        <v>45352</v>
      </c>
      <c r="T25">
        <f t="shared" ca="1" si="3"/>
        <v>8</v>
      </c>
      <c r="U25" t="str">
        <f>IF(E25&gt;Parametros!$B$5,"Alto",IF(E25&gt;Parametros!$B$4,"Medio","Bajo"))</f>
        <v>Bajo</v>
      </c>
      <c r="V25" s="37">
        <f>F25/Parametros!$B$2</f>
        <v>19378.952727272728</v>
      </c>
    </row>
    <row r="26" spans="1:22" x14ac:dyDescent="0.35">
      <c r="A26">
        <v>25</v>
      </c>
      <c r="B26" t="s">
        <v>15</v>
      </c>
      <c r="C26" s="9" t="s">
        <v>92</v>
      </c>
      <c r="D26">
        <v>2017</v>
      </c>
      <c r="E26" s="11">
        <v>137684</v>
      </c>
      <c r="F26" s="5">
        <v>22243508</v>
      </c>
      <c r="G26" t="s">
        <v>75</v>
      </c>
      <c r="H26" t="s">
        <v>93</v>
      </c>
      <c r="I26" t="s">
        <v>67</v>
      </c>
      <c r="J26">
        <v>4</v>
      </c>
      <c r="K26" t="s">
        <v>89</v>
      </c>
      <c r="L26" t="s">
        <v>77</v>
      </c>
      <c r="M26" s="7" t="s">
        <v>94</v>
      </c>
      <c r="N26" t="s">
        <v>71</v>
      </c>
      <c r="O26" t="s">
        <v>86</v>
      </c>
      <c r="P26" t="s">
        <v>79</v>
      </c>
      <c r="Q26" t="str">
        <f t="shared" si="0"/>
        <v>Alta</v>
      </c>
      <c r="R26" t="str">
        <f t="shared" si="1"/>
        <v>Sí</v>
      </c>
      <c r="S26" s="36">
        <f t="shared" si="2"/>
        <v>45931</v>
      </c>
      <c r="T26">
        <f t="shared" ca="1" si="3"/>
        <v>8</v>
      </c>
      <c r="U26" t="str">
        <f>IF(E26&gt;Parametros!$B$5,"Alto",IF(E26&gt;Parametros!$B$4,"Medio","Bajo"))</f>
        <v>Alto</v>
      </c>
      <c r="V26" s="37">
        <f>F26/Parametros!$B$2</f>
        <v>20221.370909090911</v>
      </c>
    </row>
    <row r="27" spans="1:22" x14ac:dyDescent="0.35">
      <c r="A27">
        <v>26</v>
      </c>
      <c r="B27" t="s">
        <v>16</v>
      </c>
      <c r="C27" s="9" t="s">
        <v>95</v>
      </c>
      <c r="D27">
        <v>2022</v>
      </c>
      <c r="E27" s="11">
        <v>25965</v>
      </c>
      <c r="F27" s="5">
        <v>7701714</v>
      </c>
      <c r="G27" t="s">
        <v>65</v>
      </c>
      <c r="H27" t="s">
        <v>93</v>
      </c>
      <c r="I27" t="s">
        <v>88</v>
      </c>
      <c r="J27">
        <v>3</v>
      </c>
      <c r="K27" t="s">
        <v>82</v>
      </c>
      <c r="L27" t="s">
        <v>77</v>
      </c>
      <c r="M27" s="7" t="s">
        <v>96</v>
      </c>
      <c r="N27" t="s">
        <v>85</v>
      </c>
      <c r="O27" t="s">
        <v>86</v>
      </c>
      <c r="P27" t="s">
        <v>73</v>
      </c>
      <c r="Q27" t="str">
        <f t="shared" si="0"/>
        <v>Media</v>
      </c>
      <c r="R27" t="str">
        <f t="shared" si="1"/>
        <v>Sí</v>
      </c>
      <c r="S27" s="36">
        <f t="shared" si="2"/>
        <v>45200</v>
      </c>
      <c r="T27">
        <f t="shared" ca="1" si="3"/>
        <v>3</v>
      </c>
      <c r="U27" t="str">
        <f>IF(E27&gt;Parametros!$B$5,"Alto",IF(E27&gt;Parametros!$B$4,"Medio","Bajo"))</f>
        <v>Bajo</v>
      </c>
      <c r="V27" s="37">
        <f>F27/Parametros!$B$2</f>
        <v>7001.5581818181818</v>
      </c>
    </row>
    <row r="28" spans="1:22" x14ac:dyDescent="0.35">
      <c r="A28">
        <v>27</v>
      </c>
      <c r="B28" t="s">
        <v>13</v>
      </c>
      <c r="C28" s="9" t="s">
        <v>97</v>
      </c>
      <c r="D28">
        <v>2017</v>
      </c>
      <c r="E28" s="11">
        <v>44801</v>
      </c>
      <c r="F28" s="5">
        <v>13727866</v>
      </c>
      <c r="G28" t="s">
        <v>65</v>
      </c>
      <c r="H28" t="s">
        <v>66</v>
      </c>
      <c r="I28" t="s">
        <v>76</v>
      </c>
      <c r="J28">
        <v>5</v>
      </c>
      <c r="K28" t="s">
        <v>82</v>
      </c>
      <c r="L28" t="s">
        <v>77</v>
      </c>
      <c r="M28" s="7" t="s">
        <v>98</v>
      </c>
      <c r="N28" t="s">
        <v>99</v>
      </c>
      <c r="O28" t="s">
        <v>86</v>
      </c>
      <c r="P28" t="s">
        <v>79</v>
      </c>
      <c r="Q28" t="str">
        <f t="shared" si="0"/>
        <v>Media</v>
      </c>
      <c r="R28" t="str">
        <f t="shared" si="1"/>
        <v>Sí</v>
      </c>
      <c r="S28" s="36">
        <f t="shared" si="2"/>
        <v>45200</v>
      </c>
      <c r="T28">
        <f t="shared" ca="1" si="3"/>
        <v>8</v>
      </c>
      <c r="U28" t="str">
        <f>IF(E28&gt;Parametros!$B$5,"Alto",IF(E28&gt;Parametros!$B$4,"Medio","Bajo"))</f>
        <v>Bajo</v>
      </c>
      <c r="V28" s="37">
        <f>F28/Parametros!$B$2</f>
        <v>12479.878181818181</v>
      </c>
    </row>
    <row r="29" spans="1:22" x14ac:dyDescent="0.35">
      <c r="A29">
        <v>28</v>
      </c>
      <c r="B29" t="s">
        <v>16</v>
      </c>
      <c r="C29" s="9" t="s">
        <v>87</v>
      </c>
      <c r="D29">
        <v>2015</v>
      </c>
      <c r="E29" s="11">
        <v>125599</v>
      </c>
      <c r="F29" s="5">
        <v>19200946</v>
      </c>
      <c r="G29" t="s">
        <v>100</v>
      </c>
      <c r="H29" t="s">
        <v>93</v>
      </c>
      <c r="I29" t="s">
        <v>81</v>
      </c>
      <c r="J29">
        <v>3</v>
      </c>
      <c r="K29" t="s">
        <v>101</v>
      </c>
      <c r="L29" t="s">
        <v>90</v>
      </c>
      <c r="M29" s="7" t="s">
        <v>102</v>
      </c>
      <c r="N29" t="s">
        <v>85</v>
      </c>
      <c r="O29" t="s">
        <v>72</v>
      </c>
      <c r="P29" t="s">
        <v>79</v>
      </c>
      <c r="Q29" t="str">
        <f t="shared" si="0"/>
        <v>Media</v>
      </c>
      <c r="R29" t="str">
        <f t="shared" si="1"/>
        <v>No</v>
      </c>
      <c r="S29" s="36">
        <f t="shared" si="2"/>
        <v>45170</v>
      </c>
      <c r="T29">
        <f t="shared" ca="1" si="3"/>
        <v>10</v>
      </c>
      <c r="U29" t="str">
        <f>IF(E29&gt;Parametros!$B$5,"Alto",IF(E29&gt;Parametros!$B$4,"Medio","Bajo"))</f>
        <v>Alto</v>
      </c>
      <c r="V29" s="37">
        <f>F29/Parametros!$B$2</f>
        <v>17455.405454545453</v>
      </c>
    </row>
    <row r="30" spans="1:22" x14ac:dyDescent="0.35">
      <c r="A30">
        <v>29</v>
      </c>
      <c r="B30" t="s">
        <v>14</v>
      </c>
      <c r="C30" s="9" t="s">
        <v>103</v>
      </c>
      <c r="D30">
        <v>2021</v>
      </c>
      <c r="E30" s="11">
        <v>70467</v>
      </c>
      <c r="F30" s="5">
        <v>21908286</v>
      </c>
      <c r="G30" t="s">
        <v>75</v>
      </c>
      <c r="H30" t="s">
        <v>93</v>
      </c>
      <c r="I30" t="s">
        <v>104</v>
      </c>
      <c r="J30">
        <v>3</v>
      </c>
      <c r="K30" t="s">
        <v>68</v>
      </c>
      <c r="L30" t="s">
        <v>69</v>
      </c>
      <c r="M30" s="7" t="s">
        <v>105</v>
      </c>
      <c r="N30" t="s">
        <v>99</v>
      </c>
      <c r="O30" t="s">
        <v>86</v>
      </c>
      <c r="P30" t="s">
        <v>73</v>
      </c>
      <c r="Q30" t="str">
        <f t="shared" si="0"/>
        <v>Alta</v>
      </c>
      <c r="R30" t="str">
        <f t="shared" si="1"/>
        <v>Sí</v>
      </c>
      <c r="S30" s="36">
        <f t="shared" si="2"/>
        <v>45292</v>
      </c>
      <c r="T30">
        <f t="shared" ca="1" si="3"/>
        <v>4</v>
      </c>
      <c r="U30" t="str">
        <f>IF(E30&gt;Parametros!$B$5,"Alto",IF(E30&gt;Parametros!$B$4,"Medio","Bajo"))</f>
        <v>Medio</v>
      </c>
      <c r="V30" s="37">
        <f>F30/Parametros!$B$2</f>
        <v>19916.623636363638</v>
      </c>
    </row>
    <row r="31" spans="1:22" x14ac:dyDescent="0.35">
      <c r="A31">
        <v>30</v>
      </c>
      <c r="B31" t="s">
        <v>18</v>
      </c>
      <c r="C31" s="9" t="s">
        <v>106</v>
      </c>
      <c r="D31">
        <v>2017</v>
      </c>
      <c r="E31" s="11">
        <v>52055</v>
      </c>
      <c r="F31" s="5">
        <v>23237584</v>
      </c>
      <c r="G31" t="s">
        <v>65</v>
      </c>
      <c r="H31" t="s">
        <v>93</v>
      </c>
      <c r="I31" t="s">
        <v>76</v>
      </c>
      <c r="J31">
        <v>5</v>
      </c>
      <c r="K31" t="s">
        <v>89</v>
      </c>
      <c r="L31" t="s">
        <v>83</v>
      </c>
      <c r="M31" s="7" t="s">
        <v>107</v>
      </c>
      <c r="N31" t="s">
        <v>71</v>
      </c>
      <c r="O31" t="s">
        <v>86</v>
      </c>
      <c r="P31" t="s">
        <v>73</v>
      </c>
      <c r="Q31" t="str">
        <f t="shared" si="0"/>
        <v>Alta</v>
      </c>
      <c r="R31" t="str">
        <f t="shared" si="1"/>
        <v>Sí</v>
      </c>
      <c r="S31" s="36">
        <f t="shared" si="2"/>
        <v>45200</v>
      </c>
      <c r="T31">
        <f t="shared" ca="1" si="3"/>
        <v>8</v>
      </c>
      <c r="U31" t="str">
        <f>IF(E31&gt;Parametros!$B$5,"Alto",IF(E31&gt;Parametros!$B$4,"Medio","Bajo"))</f>
        <v>Medio</v>
      </c>
      <c r="V31" s="37">
        <f>F31/Parametros!$B$2</f>
        <v>21125.076363636363</v>
      </c>
    </row>
    <row r="32" spans="1:22" x14ac:dyDescent="0.35">
      <c r="A32">
        <v>31</v>
      </c>
      <c r="B32" t="s">
        <v>15</v>
      </c>
      <c r="C32" s="9" t="s">
        <v>108</v>
      </c>
      <c r="D32">
        <v>2023</v>
      </c>
      <c r="E32" s="11">
        <v>82137</v>
      </c>
      <c r="F32" s="5">
        <v>23025850</v>
      </c>
      <c r="G32" t="s">
        <v>100</v>
      </c>
      <c r="H32" t="s">
        <v>93</v>
      </c>
      <c r="I32" t="s">
        <v>81</v>
      </c>
      <c r="J32">
        <v>3</v>
      </c>
      <c r="K32" t="s">
        <v>68</v>
      </c>
      <c r="L32" t="s">
        <v>90</v>
      </c>
      <c r="M32" s="7" t="s">
        <v>109</v>
      </c>
      <c r="N32" t="s">
        <v>99</v>
      </c>
      <c r="O32" t="s">
        <v>86</v>
      </c>
      <c r="P32" t="s">
        <v>79</v>
      </c>
      <c r="Q32" t="str">
        <f t="shared" si="0"/>
        <v>Alta</v>
      </c>
      <c r="R32" t="str">
        <f t="shared" si="1"/>
        <v>Sí</v>
      </c>
      <c r="S32" s="36">
        <f t="shared" si="2"/>
        <v>45870</v>
      </c>
      <c r="T32">
        <f t="shared" ca="1" si="3"/>
        <v>2</v>
      </c>
      <c r="U32" t="str">
        <f>IF(E32&gt;Parametros!$B$5,"Alto",IF(E32&gt;Parametros!$B$4,"Medio","Bajo"))</f>
        <v>Medio</v>
      </c>
      <c r="V32" s="37">
        <f>F32/Parametros!$B$2</f>
        <v>20932.590909090908</v>
      </c>
    </row>
    <row r="33" spans="1:22" x14ac:dyDescent="0.35">
      <c r="A33">
        <v>32</v>
      </c>
      <c r="B33" t="s">
        <v>13</v>
      </c>
      <c r="C33" s="9" t="s">
        <v>110</v>
      </c>
      <c r="D33">
        <v>2015</v>
      </c>
      <c r="E33" s="11">
        <v>77417</v>
      </c>
      <c r="F33" s="5">
        <v>20319193</v>
      </c>
      <c r="G33" t="s">
        <v>100</v>
      </c>
      <c r="H33" t="s">
        <v>66</v>
      </c>
      <c r="I33" t="s">
        <v>76</v>
      </c>
      <c r="J33">
        <v>3</v>
      </c>
      <c r="K33" t="s">
        <v>89</v>
      </c>
      <c r="L33" t="s">
        <v>77</v>
      </c>
      <c r="M33" s="7" t="s">
        <v>111</v>
      </c>
      <c r="N33" t="s">
        <v>99</v>
      </c>
      <c r="O33" t="s">
        <v>86</v>
      </c>
      <c r="P33" t="s">
        <v>79</v>
      </c>
      <c r="Q33" t="str">
        <f t="shared" si="0"/>
        <v>Alta</v>
      </c>
      <c r="R33" t="str">
        <f t="shared" si="1"/>
        <v>Sí</v>
      </c>
      <c r="S33" s="36">
        <f t="shared" si="2"/>
        <v>45231</v>
      </c>
      <c r="T33">
        <f t="shared" ca="1" si="3"/>
        <v>10</v>
      </c>
      <c r="U33" t="str">
        <f>IF(E33&gt;Parametros!$B$5,"Alto",IF(E33&gt;Parametros!$B$4,"Medio","Bajo"))</f>
        <v>Medio</v>
      </c>
      <c r="V33" s="37">
        <f>F33/Parametros!$B$2</f>
        <v>18471.993636363637</v>
      </c>
    </row>
    <row r="34" spans="1:22" x14ac:dyDescent="0.35">
      <c r="A34">
        <v>33</v>
      </c>
      <c r="B34" t="s">
        <v>19</v>
      </c>
      <c r="C34" s="9" t="s">
        <v>112</v>
      </c>
      <c r="D34">
        <v>2023</v>
      </c>
      <c r="E34" s="11">
        <v>28861</v>
      </c>
      <c r="F34" s="5">
        <v>4532832</v>
      </c>
      <c r="G34" t="s">
        <v>75</v>
      </c>
      <c r="H34" t="s">
        <v>93</v>
      </c>
      <c r="I34" t="s">
        <v>76</v>
      </c>
      <c r="J34">
        <v>5</v>
      </c>
      <c r="K34" t="s">
        <v>82</v>
      </c>
      <c r="L34" t="s">
        <v>77</v>
      </c>
      <c r="M34" s="7" t="s">
        <v>113</v>
      </c>
      <c r="N34" t="s">
        <v>71</v>
      </c>
      <c r="O34" t="s">
        <v>86</v>
      </c>
      <c r="P34" t="s">
        <v>73</v>
      </c>
      <c r="Q34" t="str">
        <f t="shared" si="0"/>
        <v>Media</v>
      </c>
      <c r="R34" t="str">
        <f t="shared" si="1"/>
        <v>Sí</v>
      </c>
      <c r="S34" s="36">
        <f t="shared" si="2"/>
        <v>44986</v>
      </c>
      <c r="T34">
        <f t="shared" ca="1" si="3"/>
        <v>2</v>
      </c>
      <c r="U34" t="str">
        <f>IF(E34&gt;Parametros!$B$5,"Alto",IF(E34&gt;Parametros!$B$4,"Medio","Bajo"))</f>
        <v>Bajo</v>
      </c>
      <c r="V34" s="37">
        <f>F34/Parametros!$B$2</f>
        <v>4120.7563636363639</v>
      </c>
    </row>
    <row r="35" spans="1:22" x14ac:dyDescent="0.35">
      <c r="A35">
        <v>34</v>
      </c>
      <c r="B35" t="s">
        <v>15</v>
      </c>
      <c r="C35" s="9" t="s">
        <v>114</v>
      </c>
      <c r="D35">
        <v>2022</v>
      </c>
      <c r="E35" s="11">
        <v>27118</v>
      </c>
      <c r="F35" s="5">
        <v>8258517</v>
      </c>
      <c r="G35" t="s">
        <v>75</v>
      </c>
      <c r="H35" t="s">
        <v>66</v>
      </c>
      <c r="I35" t="s">
        <v>81</v>
      </c>
      <c r="J35">
        <v>4</v>
      </c>
      <c r="K35" t="s">
        <v>82</v>
      </c>
      <c r="L35" t="s">
        <v>69</v>
      </c>
      <c r="M35" s="7" t="s">
        <v>115</v>
      </c>
      <c r="N35" t="s">
        <v>99</v>
      </c>
      <c r="O35" t="s">
        <v>72</v>
      </c>
      <c r="P35" t="s">
        <v>79</v>
      </c>
      <c r="Q35" t="str">
        <f t="shared" si="0"/>
        <v>Media</v>
      </c>
      <c r="R35" t="str">
        <f t="shared" si="1"/>
        <v>No</v>
      </c>
      <c r="S35" s="36">
        <f t="shared" si="2"/>
        <v>45078</v>
      </c>
      <c r="T35">
        <f t="shared" ca="1" si="3"/>
        <v>3</v>
      </c>
      <c r="U35" t="str">
        <f>IF(E35&gt;Parametros!$B$5,"Alto",IF(E35&gt;Parametros!$B$4,"Medio","Bajo"))</f>
        <v>Bajo</v>
      </c>
      <c r="V35" s="37">
        <f>F35/Parametros!$B$2</f>
        <v>7507.7427272727273</v>
      </c>
    </row>
    <row r="36" spans="1:22" x14ac:dyDescent="0.35">
      <c r="A36">
        <v>35</v>
      </c>
      <c r="B36" t="s">
        <v>17</v>
      </c>
      <c r="C36" s="9" t="s">
        <v>116</v>
      </c>
      <c r="D36">
        <v>2019</v>
      </c>
      <c r="E36" s="11">
        <v>23581</v>
      </c>
      <c r="F36" s="5">
        <v>18526043</v>
      </c>
      <c r="G36" t="s">
        <v>75</v>
      </c>
      <c r="H36" t="s">
        <v>93</v>
      </c>
      <c r="I36" t="s">
        <v>76</v>
      </c>
      <c r="J36">
        <v>5</v>
      </c>
      <c r="K36" t="s">
        <v>82</v>
      </c>
      <c r="L36" t="s">
        <v>83</v>
      </c>
      <c r="M36" s="7" t="s">
        <v>117</v>
      </c>
      <c r="N36" t="s">
        <v>71</v>
      </c>
      <c r="O36" t="s">
        <v>86</v>
      </c>
      <c r="P36" t="s">
        <v>79</v>
      </c>
      <c r="Q36" t="str">
        <f t="shared" si="0"/>
        <v>Media</v>
      </c>
      <c r="R36" t="str">
        <f t="shared" si="1"/>
        <v>Sí</v>
      </c>
      <c r="S36" s="36">
        <f t="shared" si="2"/>
        <v>45139</v>
      </c>
      <c r="T36">
        <f t="shared" ca="1" si="3"/>
        <v>6</v>
      </c>
      <c r="U36" t="str">
        <f>IF(E36&gt;Parametros!$B$5,"Alto",IF(E36&gt;Parametros!$B$4,"Medio","Bajo"))</f>
        <v>Bajo</v>
      </c>
      <c r="V36" s="37">
        <f>F36/Parametros!$B$2</f>
        <v>16841.857272727273</v>
      </c>
    </row>
    <row r="37" spans="1:22" x14ac:dyDescent="0.35">
      <c r="A37">
        <v>36</v>
      </c>
      <c r="B37" t="s">
        <v>17</v>
      </c>
      <c r="C37" s="9" t="s">
        <v>74</v>
      </c>
      <c r="D37">
        <v>2019</v>
      </c>
      <c r="E37" s="11">
        <v>94325</v>
      </c>
      <c r="F37" s="5">
        <v>21895688</v>
      </c>
      <c r="G37" t="s">
        <v>65</v>
      </c>
      <c r="H37" t="s">
        <v>93</v>
      </c>
      <c r="I37" t="s">
        <v>76</v>
      </c>
      <c r="J37">
        <v>5</v>
      </c>
      <c r="K37" t="s">
        <v>89</v>
      </c>
      <c r="L37" t="s">
        <v>69</v>
      </c>
      <c r="M37" s="7" t="s">
        <v>118</v>
      </c>
      <c r="N37" t="s">
        <v>85</v>
      </c>
      <c r="O37" t="s">
        <v>86</v>
      </c>
      <c r="P37" t="s">
        <v>73</v>
      </c>
      <c r="Q37" t="str">
        <f t="shared" si="0"/>
        <v>Alta</v>
      </c>
      <c r="R37" t="str">
        <f t="shared" si="1"/>
        <v>Sí</v>
      </c>
      <c r="S37" s="36">
        <f t="shared" si="2"/>
        <v>45352</v>
      </c>
      <c r="T37">
        <f t="shared" ca="1" si="3"/>
        <v>6</v>
      </c>
      <c r="U37" t="str">
        <f>IF(E37&gt;Parametros!$B$5,"Alto",IF(E37&gt;Parametros!$B$4,"Medio","Bajo"))</f>
        <v>Medio</v>
      </c>
      <c r="V37" s="37">
        <f>F37/Parametros!$B$2</f>
        <v>19905.17090909091</v>
      </c>
    </row>
    <row r="38" spans="1:22" x14ac:dyDescent="0.35">
      <c r="A38">
        <v>37</v>
      </c>
      <c r="B38" t="s">
        <v>11</v>
      </c>
      <c r="C38" s="9" t="s">
        <v>119</v>
      </c>
      <c r="D38">
        <v>2017</v>
      </c>
      <c r="E38" s="11">
        <v>137001</v>
      </c>
      <c r="F38" s="5">
        <v>10016668</v>
      </c>
      <c r="G38" t="s">
        <v>100</v>
      </c>
      <c r="H38" t="s">
        <v>93</v>
      </c>
      <c r="I38" t="s">
        <v>104</v>
      </c>
      <c r="J38">
        <v>4</v>
      </c>
      <c r="K38" t="s">
        <v>82</v>
      </c>
      <c r="L38" t="s">
        <v>120</v>
      </c>
      <c r="M38" s="7" t="s">
        <v>121</v>
      </c>
      <c r="N38" t="s">
        <v>99</v>
      </c>
      <c r="O38" t="s">
        <v>72</v>
      </c>
      <c r="P38" t="s">
        <v>79</v>
      </c>
      <c r="Q38" t="str">
        <f t="shared" si="0"/>
        <v>Media</v>
      </c>
      <c r="R38" t="str">
        <f t="shared" si="1"/>
        <v>No</v>
      </c>
      <c r="S38" s="36">
        <f t="shared" si="2"/>
        <v>45566</v>
      </c>
      <c r="T38">
        <f t="shared" ca="1" si="3"/>
        <v>8</v>
      </c>
      <c r="U38" t="str">
        <f>IF(E38&gt;Parametros!$B$5,"Alto",IF(E38&gt;Parametros!$B$4,"Medio","Bajo"))</f>
        <v>Alto</v>
      </c>
      <c r="V38" s="37">
        <f>F38/Parametros!$B$2</f>
        <v>9106.061818181819</v>
      </c>
    </row>
    <row r="39" spans="1:22" x14ac:dyDescent="0.35">
      <c r="A39">
        <v>38</v>
      </c>
      <c r="B39" t="s">
        <v>16</v>
      </c>
      <c r="C39" s="9" t="s">
        <v>95</v>
      </c>
      <c r="D39">
        <v>2015</v>
      </c>
      <c r="E39" s="11">
        <v>104744</v>
      </c>
      <c r="F39" s="5">
        <v>21377222</v>
      </c>
      <c r="G39" t="s">
        <v>65</v>
      </c>
      <c r="H39" t="s">
        <v>66</v>
      </c>
      <c r="I39" t="s">
        <v>76</v>
      </c>
      <c r="J39">
        <v>3</v>
      </c>
      <c r="K39" t="s">
        <v>68</v>
      </c>
      <c r="L39" t="s">
        <v>69</v>
      </c>
      <c r="M39" s="7" t="s">
        <v>122</v>
      </c>
      <c r="N39" t="s">
        <v>71</v>
      </c>
      <c r="O39" t="s">
        <v>72</v>
      </c>
      <c r="P39" t="s">
        <v>73</v>
      </c>
      <c r="Q39" t="str">
        <f t="shared" si="0"/>
        <v>Alta</v>
      </c>
      <c r="R39" t="str">
        <f t="shared" si="1"/>
        <v>No</v>
      </c>
      <c r="S39" s="36">
        <f t="shared" si="2"/>
        <v>45139</v>
      </c>
      <c r="T39">
        <f t="shared" ca="1" si="3"/>
        <v>10</v>
      </c>
      <c r="U39" t="str">
        <f>IF(E39&gt;Parametros!$B$5,"Alto",IF(E39&gt;Parametros!$B$4,"Medio","Bajo"))</f>
        <v>Alto</v>
      </c>
      <c r="V39" s="37">
        <f>F39/Parametros!$B$2</f>
        <v>19433.838181818181</v>
      </c>
    </row>
    <row r="40" spans="1:22" x14ac:dyDescent="0.35">
      <c r="A40">
        <v>39</v>
      </c>
      <c r="B40" t="s">
        <v>14</v>
      </c>
      <c r="C40" s="9" t="s">
        <v>123</v>
      </c>
      <c r="D40">
        <v>2022</v>
      </c>
      <c r="E40" s="11">
        <v>91450</v>
      </c>
      <c r="F40" s="5">
        <v>8057917</v>
      </c>
      <c r="G40" t="s">
        <v>65</v>
      </c>
      <c r="H40" t="s">
        <v>66</v>
      </c>
      <c r="I40" t="s">
        <v>67</v>
      </c>
      <c r="J40">
        <v>3</v>
      </c>
      <c r="K40" t="s">
        <v>68</v>
      </c>
      <c r="L40" t="s">
        <v>69</v>
      </c>
      <c r="M40" s="7" t="s">
        <v>124</v>
      </c>
      <c r="N40" t="s">
        <v>99</v>
      </c>
      <c r="O40" t="s">
        <v>86</v>
      </c>
      <c r="P40" t="s">
        <v>79</v>
      </c>
      <c r="Q40" t="str">
        <f t="shared" si="0"/>
        <v>Media</v>
      </c>
      <c r="R40" t="str">
        <f t="shared" si="1"/>
        <v>Sí</v>
      </c>
      <c r="S40" s="36">
        <f t="shared" si="2"/>
        <v>45778</v>
      </c>
      <c r="T40">
        <f t="shared" ca="1" si="3"/>
        <v>3</v>
      </c>
      <c r="U40" t="str">
        <f>IF(E40&gt;Parametros!$B$5,"Alto",IF(E40&gt;Parametros!$B$4,"Medio","Bajo"))</f>
        <v>Medio</v>
      </c>
      <c r="V40" s="37">
        <f>F40/Parametros!$B$2</f>
        <v>7325.3790909090912</v>
      </c>
    </row>
    <row r="41" spans="1:22" x14ac:dyDescent="0.35">
      <c r="A41">
        <v>40</v>
      </c>
      <c r="B41" t="s">
        <v>19</v>
      </c>
      <c r="C41" s="9" t="s">
        <v>112</v>
      </c>
      <c r="D41">
        <v>2019</v>
      </c>
      <c r="E41" s="11">
        <v>141731</v>
      </c>
      <c r="F41" s="5">
        <v>18938963</v>
      </c>
      <c r="G41" t="s">
        <v>75</v>
      </c>
      <c r="H41" t="s">
        <v>93</v>
      </c>
      <c r="I41" t="s">
        <v>104</v>
      </c>
      <c r="J41">
        <v>3</v>
      </c>
      <c r="K41" t="s">
        <v>68</v>
      </c>
      <c r="L41" t="s">
        <v>120</v>
      </c>
      <c r="M41" s="7" t="s">
        <v>125</v>
      </c>
      <c r="N41" t="s">
        <v>85</v>
      </c>
      <c r="O41" t="s">
        <v>86</v>
      </c>
      <c r="P41" t="s">
        <v>73</v>
      </c>
      <c r="Q41" t="str">
        <f t="shared" si="0"/>
        <v>Media</v>
      </c>
      <c r="R41" t="str">
        <f t="shared" si="1"/>
        <v>Sí</v>
      </c>
      <c r="S41" s="36">
        <f t="shared" si="2"/>
        <v>45413</v>
      </c>
      <c r="T41">
        <f t="shared" ca="1" si="3"/>
        <v>6</v>
      </c>
      <c r="U41" t="str">
        <f>IF(E41&gt;Parametros!$B$5,"Alto",IF(E41&gt;Parametros!$B$4,"Medio","Bajo"))</f>
        <v>Alto</v>
      </c>
      <c r="V41" s="37">
        <f>F41/Parametros!$B$2</f>
        <v>17217.23909090909</v>
      </c>
    </row>
  </sheetData>
  <dataValidations count="6">
    <dataValidation type="list" allowBlank="1" showInputMessage="1" showErrorMessage="1" sqref="G1:G1048576" xr:uid="{00000000-0002-0000-0500-000000000000}">
      <formula1>"Nafta, Diésel, Híbrido"</formula1>
    </dataValidation>
    <dataValidation type="list" errorStyle="information" allowBlank="1" showInputMessage="1" showErrorMessage="1" errorTitle="Valor no válido" error="Solo podés elegir una opción de la lista." sqref="N1:N1048576" xr:uid="{00000000-0002-0000-0500-000001000000}">
      <formula1>"Usado, Seminuevo, Excelente"</formula1>
    </dataValidation>
    <dataValidation type="list" allowBlank="1" showInputMessage="1" showErrorMessage="1" sqref="P1:P1048576" xr:uid="{00000000-0002-0000-0500-000002000000}">
      <formula1>"Sí, No"</formula1>
    </dataValidation>
    <dataValidation type="list" errorStyle="information" allowBlank="1" showInputMessage="1" showErrorMessage="1" errorTitle="Valor no válido" error="Solo podés elegir una opción de la lista." sqref="O1:O1048576" xr:uid="{00000000-0002-0000-0500-000003000000}">
      <formula1>"Importado, Nacional"</formula1>
    </dataValidation>
    <dataValidation type="whole" allowBlank="1" showInputMessage="1" showErrorMessage="1" sqref="J1:J1048576" xr:uid="{00000000-0002-0000-0500-000004000000}">
      <formula1>3</formula1>
      <formula2>4</formula2>
    </dataValidation>
    <dataValidation type="list" allowBlank="1" showInputMessage="1" showErrorMessage="1" sqref="H1:H1048576" xr:uid="{00000000-0002-0000-0500-000005000000}">
      <formula1>"Automática, Manual"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5" sqref="B5"/>
    </sheetView>
  </sheetViews>
  <sheetFormatPr baseColWidth="10" defaultColWidth="8.7265625" defaultRowHeight="14.5" x14ac:dyDescent="0.35"/>
  <cols>
    <col min="1" max="1" width="22" customWidth="1"/>
    <col min="2" max="2" width="14" customWidth="1"/>
  </cols>
  <sheetData>
    <row r="1" spans="1:2" x14ac:dyDescent="0.35">
      <c r="A1" s="34" t="s">
        <v>0</v>
      </c>
      <c r="B1" s="34" t="s">
        <v>1</v>
      </c>
    </row>
    <row r="2" spans="1:2" x14ac:dyDescent="0.35">
      <c r="A2" t="s">
        <v>2</v>
      </c>
      <c r="B2">
        <v>1100</v>
      </c>
    </row>
    <row r="3" spans="1:2" x14ac:dyDescent="0.35">
      <c r="A3" t="s">
        <v>3</v>
      </c>
      <c r="B3">
        <v>20000000</v>
      </c>
    </row>
    <row r="4" spans="1:2" x14ac:dyDescent="0.35">
      <c r="A4" t="s">
        <v>4</v>
      </c>
      <c r="B4">
        <v>50000</v>
      </c>
    </row>
    <row r="5" spans="1:2" x14ac:dyDescent="0.35">
      <c r="A5" t="s">
        <v>5</v>
      </c>
      <c r="B5">
        <v>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4"/>
  <sheetViews>
    <sheetView showGridLines="0" zoomScale="75" zoomScaleNormal="75" workbookViewId="0">
      <selection activeCell="E36" sqref="E36"/>
    </sheetView>
  </sheetViews>
  <sheetFormatPr baseColWidth="10" defaultRowHeight="14.5" x14ac:dyDescent="0.35"/>
  <cols>
    <col min="1" max="1" width="15" customWidth="1"/>
    <col min="2" max="2" width="16" customWidth="1"/>
    <col min="3" max="3" width="16" style="5" customWidth="1"/>
    <col min="4" max="4" width="16" customWidth="1"/>
    <col min="5" max="5" width="19.453125" customWidth="1"/>
    <col min="6" max="6" width="21.26953125" customWidth="1"/>
    <col min="7" max="7" width="20.08984375" bestFit="1" customWidth="1"/>
  </cols>
  <sheetData>
    <row r="1" spans="1:6" ht="15.5" customHeight="1" x14ac:dyDescent="0.35">
      <c r="A1" s="26" t="s">
        <v>131</v>
      </c>
      <c r="B1" s="26"/>
      <c r="C1" s="26"/>
      <c r="E1" s="26" t="s">
        <v>132</v>
      </c>
      <c r="F1" s="26"/>
    </row>
    <row r="2" spans="1:6" x14ac:dyDescent="0.35">
      <c r="A2" s="27" t="s">
        <v>133</v>
      </c>
      <c r="B2" s="27"/>
      <c r="C2" s="27"/>
      <c r="E2" s="27" t="s">
        <v>134</v>
      </c>
      <c r="F2" s="27"/>
    </row>
    <row r="3" spans="1:6" x14ac:dyDescent="0.35">
      <c r="A3" s="12"/>
      <c r="B3" s="12"/>
      <c r="C3" s="13"/>
    </row>
    <row r="4" spans="1:6" x14ac:dyDescent="0.35">
      <c r="A4" s="14" t="s">
        <v>6</v>
      </c>
      <c r="B4" s="14" t="s">
        <v>10</v>
      </c>
      <c r="F4" s="15" t="s">
        <v>135</v>
      </c>
    </row>
    <row r="5" spans="1:6" x14ac:dyDescent="0.35">
      <c r="A5" s="16" t="s">
        <v>12</v>
      </c>
      <c r="B5" s="16">
        <f>COUNTIF(Data_autos!B:B, A5)</f>
        <v>2</v>
      </c>
      <c r="F5" s="17">
        <f>AVERAGEIF(Data_autos!B:B, A5, Data_autos!F:F)</f>
        <v>4392397</v>
      </c>
    </row>
    <row r="6" spans="1:6" x14ac:dyDescent="0.35">
      <c r="A6" s="16" t="s">
        <v>17</v>
      </c>
      <c r="B6" s="16">
        <f>COUNTIF(Data_autos!B:B, A6)</f>
        <v>6</v>
      </c>
      <c r="F6" s="17">
        <f>AVERAGEIF(Data_autos!B:B, A6, Data_autos!F:F)</f>
        <v>18657438</v>
      </c>
    </row>
    <row r="7" spans="1:6" x14ac:dyDescent="0.35">
      <c r="A7" s="16" t="s">
        <v>14</v>
      </c>
      <c r="B7" s="16">
        <f>COUNTIF(Data_autos!B:B, A7)</f>
        <v>6</v>
      </c>
      <c r="F7" s="17">
        <f>AVERAGEIF(Data_autos!B:B, A7, Data_autos!F:F)</f>
        <v>16033650.666666666</v>
      </c>
    </row>
    <row r="8" spans="1:6" x14ac:dyDescent="0.35">
      <c r="A8" s="16" t="s">
        <v>16</v>
      </c>
      <c r="B8" s="16">
        <f>COUNTIF(Data_autos!B:B, A8)</f>
        <v>8</v>
      </c>
      <c r="F8" s="17">
        <f>AVERAGEIF(Data_autos!B:B, A8, Data_autos!F:F)</f>
        <v>17399182.5</v>
      </c>
    </row>
    <row r="9" spans="1:6" x14ac:dyDescent="0.35">
      <c r="A9" s="16" t="s">
        <v>15</v>
      </c>
      <c r="B9" s="16">
        <f>COUNTIF(Data_autos!B:B, A9)</f>
        <v>6</v>
      </c>
      <c r="F9" s="17">
        <f>AVERAGEIF(Data_autos!B:B, A9, Data_autos!F:F)</f>
        <v>17842625</v>
      </c>
    </row>
    <row r="10" spans="1:6" x14ac:dyDescent="0.35">
      <c r="A10" s="16" t="s">
        <v>13</v>
      </c>
      <c r="B10" s="16">
        <f>COUNTIF(Data_autos!B:B, A10)</f>
        <v>4</v>
      </c>
      <c r="F10" s="17">
        <f>AVERAGEIF(Data_autos!B:B, A10, Data_autos!F:F)</f>
        <v>17023529.5</v>
      </c>
    </row>
    <row r="11" spans="1:6" x14ac:dyDescent="0.35">
      <c r="A11" s="16" t="s">
        <v>19</v>
      </c>
      <c r="B11" s="16">
        <f>COUNTIF(Data_autos!B:B, A11)</f>
        <v>4</v>
      </c>
      <c r="F11" s="17">
        <f>AVERAGEIF(Data_autos!B:B, A11, Data_autos!F:F)</f>
        <v>11735897.5</v>
      </c>
    </row>
    <row r="12" spans="1:6" x14ac:dyDescent="0.35">
      <c r="A12" s="16" t="s">
        <v>18</v>
      </c>
      <c r="B12" s="16">
        <f>COUNTIF(Data_autos!B:B, A12)</f>
        <v>2</v>
      </c>
      <c r="F12" s="17">
        <f>AVERAGEIF(Data_autos!B:B, A12, Data_autos!F:F)</f>
        <v>23237584</v>
      </c>
    </row>
    <row r="13" spans="1:6" x14ac:dyDescent="0.35">
      <c r="A13" s="16" t="s">
        <v>11</v>
      </c>
      <c r="B13" s="16">
        <f>COUNTIF(Data_autos!B:B, A13)</f>
        <v>2</v>
      </c>
      <c r="F13" s="17">
        <f>AVERAGEIF(Data_autos!B:B, A13, Data_autos!F:F)</f>
        <v>10016668</v>
      </c>
    </row>
    <row r="17" spans="1:6" ht="15.5" customHeight="1" x14ac:dyDescent="0.35">
      <c r="A17" s="26" t="s">
        <v>136</v>
      </c>
      <c r="E17" s="26" t="s">
        <v>137</v>
      </c>
    </row>
    <row r="18" spans="1:6" x14ac:dyDescent="0.35">
      <c r="A18" s="27" t="s">
        <v>138</v>
      </c>
      <c r="E18" s="27" t="s">
        <v>139</v>
      </c>
    </row>
    <row r="19" spans="1:6" ht="29" x14ac:dyDescent="0.35">
      <c r="A19" s="28" t="s">
        <v>7</v>
      </c>
      <c r="B19" s="28" t="s">
        <v>140</v>
      </c>
      <c r="E19" s="19" t="s">
        <v>141</v>
      </c>
      <c r="F19" s="20">
        <f>SUM(E21,E23)</f>
        <v>40</v>
      </c>
    </row>
    <row r="20" spans="1:6" x14ac:dyDescent="0.35">
      <c r="A20" s="29" t="s">
        <v>120</v>
      </c>
      <c r="B20" s="29">
        <f>COUNTIF(Data_autos!L:L,A20)</f>
        <v>4</v>
      </c>
      <c r="E20" s="18" t="s">
        <v>142</v>
      </c>
      <c r="F20" s="18" t="s">
        <v>143</v>
      </c>
    </row>
    <row r="21" spans="1:6" x14ac:dyDescent="0.35">
      <c r="A21" s="29" t="s">
        <v>83</v>
      </c>
      <c r="B21" s="29">
        <f>COUNTIF(Data_autos!L:L,A21)</f>
        <v>6</v>
      </c>
      <c r="E21" s="16">
        <f>COUNTIF(Data_autos!P:P,"Sí")</f>
        <v>20</v>
      </c>
      <c r="F21" s="21">
        <f>E21/F19</f>
        <v>0.5</v>
      </c>
    </row>
    <row r="22" spans="1:6" x14ac:dyDescent="0.35">
      <c r="A22" s="29" t="s">
        <v>69</v>
      </c>
      <c r="B22" s="29">
        <f>COUNTIF(Data_autos!L:L,A22)</f>
        <v>12</v>
      </c>
      <c r="E22" s="18" t="s">
        <v>144</v>
      </c>
      <c r="F22" s="18" t="s">
        <v>145</v>
      </c>
    </row>
    <row r="23" spans="1:6" x14ac:dyDescent="0.35">
      <c r="A23" s="29" t="s">
        <v>77</v>
      </c>
      <c r="B23" s="29">
        <f>COUNTIF(Data_autos!L:L,A23)</f>
        <v>12</v>
      </c>
      <c r="E23" s="16">
        <f>COUNTIF(Data_autos!P:P,"No")</f>
        <v>20</v>
      </c>
      <c r="F23" s="21">
        <f>E23/F19</f>
        <v>0.5</v>
      </c>
    </row>
    <row r="24" spans="1:6" x14ac:dyDescent="0.35">
      <c r="A24" s="29" t="s">
        <v>90</v>
      </c>
      <c r="B24" s="29">
        <f>COUNTIF(Data_autos!L:L,A24)</f>
        <v>6</v>
      </c>
    </row>
    <row r="29" spans="1:6" ht="15.5" customHeight="1" x14ac:dyDescent="0.35">
      <c r="A29" s="26" t="s">
        <v>146</v>
      </c>
    </row>
    <row r="30" spans="1:6" x14ac:dyDescent="0.35">
      <c r="A30" s="27" t="s">
        <v>147</v>
      </c>
    </row>
    <row r="31" spans="1:6" x14ac:dyDescent="0.35">
      <c r="A31" s="18" t="s">
        <v>148</v>
      </c>
      <c r="B31" s="30" t="s">
        <v>10</v>
      </c>
      <c r="C31" s="31" t="s">
        <v>135</v>
      </c>
    </row>
    <row r="32" spans="1:6" x14ac:dyDescent="0.35">
      <c r="A32" s="32" t="s">
        <v>75</v>
      </c>
      <c r="B32" s="16">
        <f>COUNTIF(Data_autos!G:G, A32)</f>
        <v>16</v>
      </c>
      <c r="C32" s="17">
        <f>AVERAGEIF(Data_autos!G:G, A32, Data_autos!F:F)</f>
        <v>16011685.125</v>
      </c>
    </row>
    <row r="33" spans="1:6" x14ac:dyDescent="0.35">
      <c r="A33" s="32" t="s">
        <v>100</v>
      </c>
      <c r="B33" s="16">
        <f>COUNTIF(Data_autos!G:G, A33)</f>
        <v>8</v>
      </c>
      <c r="C33" s="17">
        <f>AVERAGEIF(Data_autos!G:G, A33, Data_autos!F:F)</f>
        <v>18140664.25</v>
      </c>
    </row>
    <row r="34" spans="1:6" x14ac:dyDescent="0.35">
      <c r="A34" s="32" t="s">
        <v>65</v>
      </c>
      <c r="B34" s="16">
        <f>COUNTIF(Data_autos!G:G, A34)</f>
        <v>16</v>
      </c>
      <c r="C34" s="17">
        <f>AVERAGEIF(Data_autos!G:G, A34, Data_autos!F:F)</f>
        <v>15213404.5</v>
      </c>
    </row>
    <row r="36" spans="1:6" x14ac:dyDescent="0.35">
      <c r="A36" s="47" t="s">
        <v>149</v>
      </c>
    </row>
    <row r="37" spans="1:6" x14ac:dyDescent="0.35">
      <c r="A37" s="38" t="s">
        <v>150</v>
      </c>
      <c r="B37" s="38"/>
      <c r="C37" s="42"/>
      <c r="D37" s="38"/>
      <c r="E37" s="38"/>
      <c r="F37" s="38"/>
    </row>
    <row r="39" spans="1:6" x14ac:dyDescent="0.35">
      <c r="A39" s="34" t="s">
        <v>20</v>
      </c>
      <c r="B39" s="34" t="s">
        <v>151</v>
      </c>
      <c r="C39" s="34" t="s">
        <v>135</v>
      </c>
    </row>
    <row r="40" spans="1:6" x14ac:dyDescent="0.35">
      <c r="A40" t="s">
        <v>21</v>
      </c>
      <c r="B40">
        <f>COUNTIF(Data_autos!$S:$S,DATE(LEFT(A40,4),MID(A40,6,2),1))</f>
        <v>2</v>
      </c>
      <c r="C40" s="35">
        <f>AVERAGEIF(Data_autos!$S:$S,DATE(LEFT(A40,4),MID(A40,6,2),1),Data_autos!$F:$F)</f>
        <v>4532832</v>
      </c>
    </row>
    <row r="41" spans="1:6" x14ac:dyDescent="0.35">
      <c r="A41" t="s">
        <v>22</v>
      </c>
      <c r="B41">
        <f>COUNTIF(Data_autos!$S:$S,DATE(LEFT(A41,4),MID(A41,6,2),1))</f>
        <v>2</v>
      </c>
      <c r="C41" s="35">
        <f>AVERAGEIF(Data_autos!$S:$S,DATE(LEFT(A41,4),MID(A41,6,2),1),Data_autos!$F:$F)</f>
        <v>8258517</v>
      </c>
    </row>
    <row r="42" spans="1:6" x14ac:dyDescent="0.35">
      <c r="A42" t="s">
        <v>23</v>
      </c>
      <c r="B42">
        <f>COUNTIF(Data_autos!$S:$S,DATE(LEFT(A42,4),MID(A42,6,2),1))</f>
        <v>6</v>
      </c>
      <c r="C42" s="35">
        <f>AVERAGEIF(Data_autos!$S:$S,DATE(LEFT(A42,4),MID(A42,6,2),1),Data_autos!$F:$F)</f>
        <v>14765220.666666666</v>
      </c>
    </row>
    <row r="43" spans="1:6" x14ac:dyDescent="0.35">
      <c r="A43" t="s">
        <v>24</v>
      </c>
      <c r="B43">
        <f>COUNTIF(Data_autos!$S:$S,DATE(LEFT(A43,4),MID(A43,6,2),1))</f>
        <v>2</v>
      </c>
      <c r="C43" s="35">
        <f>AVERAGEIF(Data_autos!$S:$S,DATE(LEFT(A43,4),MID(A43,6,2),1),Data_autos!$F:$F)</f>
        <v>19200946</v>
      </c>
    </row>
    <row r="44" spans="1:6" x14ac:dyDescent="0.35">
      <c r="A44" t="s">
        <v>25</v>
      </c>
      <c r="B44">
        <f>COUNTIF(Data_autos!$S:$S,DATE(LEFT(A44,4),MID(A44,6,2),1))</f>
        <v>6</v>
      </c>
      <c r="C44" s="35">
        <f>AVERAGEIF(Data_autos!$S:$S,DATE(LEFT(A44,4),MID(A44,6,2),1),Data_autos!$F:$F)</f>
        <v>14889054.666666666</v>
      </c>
    </row>
    <row r="45" spans="1:6" x14ac:dyDescent="0.35">
      <c r="A45" t="s">
        <v>26</v>
      </c>
      <c r="B45">
        <f>COUNTIF(Data_autos!$S:$S,DATE(LEFT(A45,4),MID(A45,6,2),1))</f>
        <v>4</v>
      </c>
      <c r="C45" s="35">
        <f>AVERAGEIF(Data_autos!$S:$S,DATE(LEFT(A45,4),MID(A45,6,2),1),Data_autos!$F:$F)</f>
        <v>19226971</v>
      </c>
    </row>
    <row r="46" spans="1:6" x14ac:dyDescent="0.35">
      <c r="A46" t="s">
        <v>27</v>
      </c>
      <c r="B46">
        <f>COUNTIF(Data_autos!$S:$S,DATE(LEFT(A46,4),MID(A46,6,2),1))</f>
        <v>2</v>
      </c>
      <c r="C46" s="35">
        <f>AVERAGEIF(Data_autos!$S:$S,DATE(LEFT(A46,4),MID(A46,6,2),1),Data_autos!$F:$F)</f>
        <v>21908286</v>
      </c>
    </row>
    <row r="47" spans="1:6" x14ac:dyDescent="0.35">
      <c r="A47" t="s">
        <v>28</v>
      </c>
      <c r="B47">
        <f>COUNTIF(Data_autos!$S:$S,DATE(LEFT(A47,4),MID(A47,6,2),1))</f>
        <v>4</v>
      </c>
      <c r="C47" s="35">
        <f>AVERAGEIF(Data_autos!$S:$S,DATE(LEFT(A47,4),MID(A47,6,2),1),Data_autos!$F:$F)</f>
        <v>21606268</v>
      </c>
    </row>
    <row r="48" spans="1:6" x14ac:dyDescent="0.35">
      <c r="A48" t="s">
        <v>29</v>
      </c>
      <c r="B48">
        <f>COUNTIF(Data_autos!$S:$S,DATE(LEFT(A48,4),MID(A48,6,2),1))</f>
        <v>2</v>
      </c>
      <c r="C48" s="35">
        <f>AVERAGEIF(Data_autos!$S:$S,DATE(LEFT(A48,4),MID(A48,6,2),1),Data_autos!$F:$F)</f>
        <v>18938963</v>
      </c>
    </row>
    <row r="49" spans="1:6" x14ac:dyDescent="0.35">
      <c r="A49" t="s">
        <v>30</v>
      </c>
      <c r="B49">
        <f>COUNTIF(Data_autos!$S:$S,DATE(LEFT(A49,4),MID(A49,6,2),1))</f>
        <v>2</v>
      </c>
      <c r="C49" s="35">
        <f>AVERAGEIF(Data_autos!$S:$S,DATE(LEFT(A49,4),MID(A49,6,2),1),Data_autos!$F:$F)</f>
        <v>10016668</v>
      </c>
    </row>
    <row r="50" spans="1:6" x14ac:dyDescent="0.35">
      <c r="A50" t="s">
        <v>31</v>
      </c>
      <c r="B50">
        <f>COUNTIF(Data_autos!$S:$S,DATE(LEFT(A50,4),MID(A50,6,2),1))</f>
        <v>2</v>
      </c>
      <c r="C50" s="35">
        <f>AVERAGEIF(Data_autos!$S:$S,DATE(LEFT(A50,4),MID(A50,6,2),1),Data_autos!$F:$F)</f>
        <v>15550583</v>
      </c>
    </row>
    <row r="51" spans="1:6" x14ac:dyDescent="0.35">
      <c r="A51" t="s">
        <v>32</v>
      </c>
      <c r="B51">
        <f>COUNTIF(Data_autos!$S:$S,DATE(LEFT(A51,4),MID(A51,6,2),1))</f>
        <v>2</v>
      </c>
      <c r="C51" s="35">
        <f>AVERAGEIF(Data_autos!$S:$S,DATE(LEFT(A51,4),MID(A51,6,2),1),Data_autos!$F:$F)</f>
        <v>8057917</v>
      </c>
    </row>
    <row r="52" spans="1:6" x14ac:dyDescent="0.35">
      <c r="A52" t="s">
        <v>33</v>
      </c>
      <c r="B52">
        <f>COUNTIF(Data_autos!$S:$S,DATE(LEFT(A52,4),MID(A52,6,2),1))</f>
        <v>2</v>
      </c>
      <c r="C52" s="35">
        <f>AVERAGEIF(Data_autos!$S:$S,DATE(LEFT(A52,4),MID(A52,6,2),1),Data_autos!$F:$F)</f>
        <v>23025850</v>
      </c>
    </row>
    <row r="53" spans="1:6" x14ac:dyDescent="0.35">
      <c r="A53" t="s">
        <v>34</v>
      </c>
      <c r="B53">
        <f>COUNTIF(Data_autos!$S:$S,DATE(LEFT(A53,4),MID(A53,6,2),1))</f>
        <v>2</v>
      </c>
      <c r="C53" s="35">
        <f>AVERAGEIF(Data_autos!$S:$S,DATE(LEFT(A53,4),MID(A53,6,2),1),Data_autos!$F:$F)</f>
        <v>22243508</v>
      </c>
    </row>
    <row r="57" spans="1:6" x14ac:dyDescent="0.35">
      <c r="A57" s="44"/>
      <c r="B57" s="38"/>
      <c r="C57" s="42"/>
      <c r="D57" s="38"/>
      <c r="E57" s="38"/>
      <c r="F57" s="38"/>
    </row>
    <row r="59" spans="1:6" x14ac:dyDescent="0.35">
      <c r="B59" s="34"/>
      <c r="C59" s="34"/>
      <c r="D59" s="34"/>
    </row>
    <row r="60" spans="1:6" x14ac:dyDescent="0.35">
      <c r="B60" s="35"/>
      <c r="C60" s="35"/>
      <c r="D60" s="35"/>
    </row>
    <row r="61" spans="1:6" x14ac:dyDescent="0.35">
      <c r="B61" s="35"/>
      <c r="C61" s="35"/>
      <c r="D61" s="35"/>
    </row>
    <row r="62" spans="1:6" x14ac:dyDescent="0.35">
      <c r="B62" s="35"/>
      <c r="C62" s="35"/>
      <c r="D62" s="35"/>
    </row>
    <row r="63" spans="1:6" x14ac:dyDescent="0.35">
      <c r="B63" s="35"/>
      <c r="C63" s="35"/>
      <c r="D63" s="35"/>
    </row>
    <row r="64" spans="1:6" x14ac:dyDescent="0.35">
      <c r="B64" s="35"/>
      <c r="C64" s="35"/>
      <c r="D64" s="35"/>
    </row>
  </sheetData>
  <mergeCells count="2">
    <mergeCell ref="A37:F37"/>
    <mergeCell ref="A57:F5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5B77-E661-4E5F-BB67-446D9ED67272}">
  <dimension ref="A1:M77"/>
  <sheetViews>
    <sheetView tabSelected="1" topLeftCell="A8" zoomScale="32" workbookViewId="0">
      <selection activeCell="Y80" sqref="Y80"/>
    </sheetView>
  </sheetViews>
  <sheetFormatPr baseColWidth="10" defaultRowHeight="14.5" x14ac:dyDescent="0.35"/>
  <cols>
    <col min="1" max="1" width="29.36328125" bestFit="1" customWidth="1"/>
    <col min="2" max="2" width="33.08984375" bestFit="1" customWidth="1"/>
    <col min="3" max="3" width="34.453125" bestFit="1" customWidth="1"/>
    <col min="7" max="7" width="29.36328125" bestFit="1" customWidth="1"/>
    <col min="8" max="8" width="35.36328125" bestFit="1" customWidth="1"/>
    <col min="9" max="9" width="15.453125" bestFit="1" customWidth="1"/>
    <col min="10" max="10" width="9.453125" bestFit="1" customWidth="1"/>
    <col min="11" max="11" width="18.26953125" bestFit="1" customWidth="1"/>
  </cols>
  <sheetData>
    <row r="1" spans="1:13" ht="18.5" x14ac:dyDescent="0.35">
      <c r="A1" s="45" t="s">
        <v>152</v>
      </c>
      <c r="B1" s="38"/>
      <c r="C1" s="38"/>
      <c r="D1" s="38"/>
      <c r="E1" s="38"/>
      <c r="F1" s="38"/>
      <c r="G1" s="38"/>
      <c r="H1" s="38"/>
    </row>
    <row r="3" spans="1:13" x14ac:dyDescent="0.35">
      <c r="A3" s="25" t="s">
        <v>153</v>
      </c>
    </row>
    <row r="4" spans="1:13" x14ac:dyDescent="0.35">
      <c r="M4" s="24" t="s">
        <v>8</v>
      </c>
    </row>
    <row r="5" spans="1:13" x14ac:dyDescent="0.35">
      <c r="M5" s="23">
        <f>[1]Analisis!F21</f>
        <v>0.5</v>
      </c>
    </row>
    <row r="12" spans="1:13" x14ac:dyDescent="0.35">
      <c r="G12" s="33" t="s">
        <v>154</v>
      </c>
      <c r="H12" s="33" t="s">
        <v>155</v>
      </c>
    </row>
    <row r="13" spans="1:13" x14ac:dyDescent="0.35">
      <c r="G13" s="33" t="s">
        <v>156</v>
      </c>
      <c r="H13" t="s">
        <v>85</v>
      </c>
      <c r="I13" t="s">
        <v>71</v>
      </c>
      <c r="J13" t="s">
        <v>99</v>
      </c>
      <c r="K13" t="s">
        <v>157</v>
      </c>
    </row>
    <row r="14" spans="1:13" x14ac:dyDescent="0.35">
      <c r="G14" s="20" t="s">
        <v>120</v>
      </c>
      <c r="H14" s="46">
        <v>2</v>
      </c>
      <c r="I14" s="46"/>
      <c r="J14" s="46">
        <v>2</v>
      </c>
      <c r="K14" s="46">
        <v>4</v>
      </c>
    </row>
    <row r="15" spans="1:13" x14ac:dyDescent="0.35">
      <c r="G15" s="20" t="s">
        <v>83</v>
      </c>
      <c r="H15" s="46">
        <v>2</v>
      </c>
      <c r="I15" s="46">
        <v>4</v>
      </c>
      <c r="J15" s="46"/>
      <c r="K15" s="46">
        <v>6</v>
      </c>
    </row>
    <row r="16" spans="1:13" x14ac:dyDescent="0.35">
      <c r="G16" s="20" t="s">
        <v>90</v>
      </c>
      <c r="H16" s="46">
        <v>4</v>
      </c>
      <c r="I16" s="46"/>
      <c r="J16" s="46">
        <v>2</v>
      </c>
      <c r="K16" s="46">
        <v>6</v>
      </c>
    </row>
    <row r="17" spans="1:11" x14ac:dyDescent="0.35">
      <c r="A17" s="33" t="s">
        <v>156</v>
      </c>
      <c r="B17" t="s">
        <v>154</v>
      </c>
      <c r="G17" s="20" t="s">
        <v>69</v>
      </c>
      <c r="H17" s="46">
        <v>2</v>
      </c>
      <c r="I17" s="46">
        <v>4</v>
      </c>
      <c r="J17" s="46">
        <v>6</v>
      </c>
      <c r="K17" s="46">
        <v>12</v>
      </c>
    </row>
    <row r="18" spans="1:11" x14ac:dyDescent="0.35">
      <c r="A18" s="20" t="s">
        <v>11</v>
      </c>
      <c r="B18">
        <v>2</v>
      </c>
      <c r="G18" s="20" t="s">
        <v>77</v>
      </c>
      <c r="H18" s="46">
        <v>2</v>
      </c>
      <c r="I18" s="46">
        <v>6</v>
      </c>
      <c r="J18" s="46">
        <v>4</v>
      </c>
      <c r="K18" s="46">
        <v>12</v>
      </c>
    </row>
    <row r="19" spans="1:11" x14ac:dyDescent="0.35">
      <c r="A19" s="20" t="s">
        <v>12</v>
      </c>
      <c r="B19">
        <v>2</v>
      </c>
      <c r="G19" s="20" t="s">
        <v>157</v>
      </c>
      <c r="H19" s="46">
        <v>12</v>
      </c>
      <c r="I19" s="46">
        <v>14</v>
      </c>
      <c r="J19" s="46">
        <v>14</v>
      </c>
      <c r="K19" s="46">
        <v>40</v>
      </c>
    </row>
    <row r="20" spans="1:11" x14ac:dyDescent="0.35">
      <c r="A20" s="20" t="s">
        <v>13</v>
      </c>
      <c r="B20">
        <v>4</v>
      </c>
    </row>
    <row r="21" spans="1:11" x14ac:dyDescent="0.35">
      <c r="A21" s="20" t="s">
        <v>14</v>
      </c>
      <c r="B21">
        <v>6</v>
      </c>
    </row>
    <row r="22" spans="1:11" x14ac:dyDescent="0.35">
      <c r="A22" s="20" t="s">
        <v>15</v>
      </c>
      <c r="B22">
        <v>6</v>
      </c>
    </row>
    <row r="23" spans="1:11" x14ac:dyDescent="0.35">
      <c r="A23" s="20" t="s">
        <v>16</v>
      </c>
      <c r="B23">
        <v>8</v>
      </c>
    </row>
    <row r="24" spans="1:11" x14ac:dyDescent="0.35">
      <c r="A24" s="20" t="s">
        <v>17</v>
      </c>
      <c r="B24">
        <v>6</v>
      </c>
    </row>
    <row r="25" spans="1:11" x14ac:dyDescent="0.35">
      <c r="A25" s="20" t="s">
        <v>18</v>
      </c>
      <c r="B25">
        <v>2</v>
      </c>
    </row>
    <row r="26" spans="1:11" x14ac:dyDescent="0.35">
      <c r="A26" s="20" t="s">
        <v>19</v>
      </c>
      <c r="B26">
        <v>4</v>
      </c>
    </row>
    <row r="27" spans="1:11" x14ac:dyDescent="0.35">
      <c r="A27" s="20" t="s">
        <v>157</v>
      </c>
      <c r="B27">
        <v>40</v>
      </c>
    </row>
    <row r="33" spans="1:8" x14ac:dyDescent="0.35">
      <c r="A33" s="33" t="s">
        <v>156</v>
      </c>
      <c r="B33" t="s">
        <v>154</v>
      </c>
    </row>
    <row r="34" spans="1:8" x14ac:dyDescent="0.35">
      <c r="A34" s="20" t="s">
        <v>73</v>
      </c>
      <c r="B34">
        <v>20</v>
      </c>
    </row>
    <row r="35" spans="1:8" x14ac:dyDescent="0.35">
      <c r="A35" s="20" t="s">
        <v>79</v>
      </c>
      <c r="B35">
        <v>20</v>
      </c>
    </row>
    <row r="36" spans="1:8" x14ac:dyDescent="0.35">
      <c r="A36" s="20" t="s">
        <v>157</v>
      </c>
      <c r="B36">
        <v>40</v>
      </c>
    </row>
    <row r="40" spans="1:8" x14ac:dyDescent="0.35">
      <c r="G40" s="33" t="s">
        <v>156</v>
      </c>
      <c r="H40" t="s">
        <v>154</v>
      </c>
    </row>
    <row r="41" spans="1:8" x14ac:dyDescent="0.35">
      <c r="G41" s="20" t="s">
        <v>100</v>
      </c>
      <c r="H41">
        <v>8</v>
      </c>
    </row>
    <row r="42" spans="1:8" x14ac:dyDescent="0.35">
      <c r="G42" s="20" t="s">
        <v>65</v>
      </c>
      <c r="H42">
        <v>16</v>
      </c>
    </row>
    <row r="43" spans="1:8" x14ac:dyDescent="0.35">
      <c r="G43" s="20" t="s">
        <v>75</v>
      </c>
      <c r="H43">
        <v>16</v>
      </c>
    </row>
    <row r="44" spans="1:8" x14ac:dyDescent="0.35">
      <c r="G44" s="20" t="s">
        <v>157</v>
      </c>
      <c r="H44">
        <v>40</v>
      </c>
    </row>
    <row r="51" spans="1:5" x14ac:dyDescent="0.35">
      <c r="A51" t="s">
        <v>159</v>
      </c>
    </row>
    <row r="62" spans="1:5" x14ac:dyDescent="0.35">
      <c r="A62" s="33" t="s">
        <v>158</v>
      </c>
      <c r="B62" s="33" t="s">
        <v>155</v>
      </c>
    </row>
    <row r="63" spans="1:5" x14ac:dyDescent="0.35">
      <c r="A63" s="33" t="s">
        <v>156</v>
      </c>
      <c r="B63" t="s">
        <v>100</v>
      </c>
      <c r="C63" t="s">
        <v>65</v>
      </c>
      <c r="D63" t="s">
        <v>75</v>
      </c>
      <c r="E63" t="s">
        <v>157</v>
      </c>
    </row>
    <row r="64" spans="1:5" x14ac:dyDescent="0.35">
      <c r="A64" s="20" t="s">
        <v>120</v>
      </c>
      <c r="B64" s="37">
        <v>9106.061818181819</v>
      </c>
      <c r="C64" s="37"/>
      <c r="D64" s="37">
        <v>17217.23909090909</v>
      </c>
      <c r="E64" s="37">
        <v>13161.650454545455</v>
      </c>
    </row>
    <row r="65" spans="1:6" x14ac:dyDescent="0.35">
      <c r="A65" s="20" t="s">
        <v>83</v>
      </c>
      <c r="B65" s="37"/>
      <c r="C65" s="37">
        <v>21125.076363636363</v>
      </c>
      <c r="D65" s="37">
        <v>16663.996363636365</v>
      </c>
      <c r="E65" s="37">
        <v>18151.023030303029</v>
      </c>
    </row>
    <row r="66" spans="1:6" x14ac:dyDescent="0.35">
      <c r="A66" s="20" t="s">
        <v>90</v>
      </c>
      <c r="B66" s="37">
        <v>19193.99818181818</v>
      </c>
      <c r="C66" s="37">
        <v>19378.952727272728</v>
      </c>
      <c r="D66" s="37"/>
      <c r="E66" s="37">
        <v>19255.649696969696</v>
      </c>
    </row>
    <row r="67" spans="1:6" x14ac:dyDescent="0.35">
      <c r="A67" s="20" t="s">
        <v>69</v>
      </c>
      <c r="B67" s="37"/>
      <c r="C67" s="37">
        <v>12664.369090909091</v>
      </c>
      <c r="D67" s="37">
        <v>13712.183181818184</v>
      </c>
      <c r="E67" s="37">
        <v>13013.640454545455</v>
      </c>
    </row>
    <row r="68" spans="1:6" x14ac:dyDescent="0.35">
      <c r="A68" s="20" t="s">
        <v>77</v>
      </c>
      <c r="B68" s="37">
        <v>18471.993636363637</v>
      </c>
      <c r="C68" s="37">
        <v>9740.7181818181816</v>
      </c>
      <c r="D68" s="37">
        <v>12826.340303030303</v>
      </c>
      <c r="E68" s="37">
        <v>12738.741818181819</v>
      </c>
    </row>
    <row r="69" spans="1:6" x14ac:dyDescent="0.35">
      <c r="A69" s="20" t="s">
        <v>157</v>
      </c>
      <c r="B69" s="37">
        <v>16491.512954545455</v>
      </c>
      <c r="C69" s="37">
        <v>13830.367727272725</v>
      </c>
      <c r="D69" s="37">
        <v>14556.077386363639</v>
      </c>
      <c r="E69" s="37">
        <v>14652.880636363636</v>
      </c>
    </row>
    <row r="71" spans="1:6" x14ac:dyDescent="0.35">
      <c r="A71" s="33" t="s">
        <v>156</v>
      </c>
      <c r="B71" t="s">
        <v>158</v>
      </c>
      <c r="C71" t="s">
        <v>161</v>
      </c>
    </row>
    <row r="72" spans="1:6" x14ac:dyDescent="0.35">
      <c r="A72" s="20" t="s">
        <v>160</v>
      </c>
      <c r="B72" s="37">
        <v>9106.061818181819</v>
      </c>
      <c r="C72" s="46">
        <v>2</v>
      </c>
      <c r="F72" t="s">
        <v>162</v>
      </c>
    </row>
    <row r="73" spans="1:6" x14ac:dyDescent="0.35">
      <c r="A73" s="48" t="s">
        <v>79</v>
      </c>
      <c r="B73" s="37">
        <v>9106.061818181819</v>
      </c>
      <c r="C73" s="46">
        <v>2</v>
      </c>
    </row>
    <row r="74" spans="1:6" x14ac:dyDescent="0.35">
      <c r="A74" s="49" t="s">
        <v>11</v>
      </c>
      <c r="B74" s="37">
        <v>9106.061818181819</v>
      </c>
      <c r="C74" s="46">
        <v>2</v>
      </c>
    </row>
    <row r="75" spans="1:6" x14ac:dyDescent="0.35">
      <c r="A75" s="50" t="s">
        <v>72</v>
      </c>
      <c r="B75" s="37">
        <v>9106.061818181819</v>
      </c>
      <c r="C75" s="46">
        <v>2</v>
      </c>
    </row>
    <row r="76" spans="1:6" x14ac:dyDescent="0.35">
      <c r="A76" s="51">
        <v>137001</v>
      </c>
      <c r="B76" s="37">
        <v>9106.061818181819</v>
      </c>
      <c r="C76" s="46">
        <v>2</v>
      </c>
    </row>
    <row r="77" spans="1:6" x14ac:dyDescent="0.35">
      <c r="A77" s="20" t="s">
        <v>157</v>
      </c>
      <c r="B77" s="37">
        <v>9106.061818181819</v>
      </c>
      <c r="C77" s="46">
        <v>2</v>
      </c>
    </row>
  </sheetData>
  <mergeCells count="1">
    <mergeCell ref="A1:H1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Proyecto</vt:lpstr>
      <vt:lpstr>Base_Cruda</vt:lpstr>
      <vt:lpstr>Data_autos</vt:lpstr>
      <vt:lpstr>Parametros</vt:lpstr>
      <vt:lpstr>Analisis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Lujan Massironi</dc:creator>
  <cp:lastModifiedBy>Maria Lujan Massironi</cp:lastModifiedBy>
  <dcterms:created xsi:type="dcterms:W3CDTF">2025-10-22T13:09:30Z</dcterms:created>
  <dcterms:modified xsi:type="dcterms:W3CDTF">2025-12-15T03:48:16Z</dcterms:modified>
</cp:coreProperties>
</file>